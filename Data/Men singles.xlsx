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f6ca366e16dc553f/Desktop/lee chong wei/"/>
    </mc:Choice>
  </mc:AlternateContent>
  <xr:revisionPtr revIDLastSave="242" documentId="8_{F1C451B4-5BD4-47F0-B841-5CA38742BD3F}" xr6:coauthVersionLast="47" xr6:coauthVersionMax="47" xr10:uidLastSave="{8513AE9A-D4E1-41F2-A92F-9517F12C9C39}"/>
  <bookViews>
    <workbookView xWindow="-108" yWindow="-108" windowWidth="23256" windowHeight="12456" activeTab="1" xr2:uid="{819391B0-28A7-47E0-8BD6-584C4B000322}"/>
  </bookViews>
  <sheets>
    <sheet name="Unstructured Sheet" sheetId="5" r:id="rId1"/>
    <sheet name="Lee Chong Wei (Cleaned Sheet)" sheetId="2" r:id="rId2"/>
    <sheet name="Pivot sheet " sheetId="3" r:id="rId3"/>
  </sheets>
  <definedNames>
    <definedName name="_xlnm._FilterDatabase" localSheetId="1" hidden="1">'Lee Chong Wei (Cleaned Sheet)'!$A$1:$P$416</definedName>
  </definedNames>
  <calcPr calcId="191029"/>
  <pivotCaches>
    <pivotCache cacheId="0" r:id="rId4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3" i="2" l="1"/>
  <c r="D3" i="2"/>
  <c r="C4" i="2"/>
  <c r="D4" i="2"/>
  <c r="C5" i="2"/>
  <c r="D5" i="2"/>
  <c r="C6" i="2"/>
  <c r="D6" i="2"/>
  <c r="C7" i="2"/>
  <c r="D7" i="2"/>
  <c r="C8" i="2"/>
  <c r="D8" i="2"/>
  <c r="C9" i="2"/>
  <c r="D9" i="2"/>
  <c r="C10" i="2"/>
  <c r="D10" i="2"/>
  <c r="C11" i="2"/>
  <c r="D11" i="2"/>
  <c r="C12" i="2"/>
  <c r="D12" i="2"/>
  <c r="C13" i="2"/>
  <c r="D13" i="2"/>
  <c r="C14" i="2"/>
  <c r="D14" i="2"/>
  <c r="C15" i="2"/>
  <c r="D15" i="2"/>
  <c r="C16" i="2"/>
  <c r="D16" i="2"/>
  <c r="C17" i="2"/>
  <c r="D17" i="2"/>
  <c r="C18" i="2"/>
  <c r="D18" i="2"/>
  <c r="C19" i="2"/>
  <c r="D19" i="2"/>
  <c r="C20" i="2"/>
  <c r="D20" i="2"/>
  <c r="C21" i="2"/>
  <c r="D21" i="2"/>
  <c r="C22" i="2"/>
  <c r="D22" i="2"/>
  <c r="C23" i="2"/>
  <c r="D23" i="2"/>
  <c r="C24" i="2"/>
  <c r="D24" i="2"/>
  <c r="C25" i="2"/>
  <c r="D25" i="2"/>
  <c r="C26" i="2"/>
  <c r="D26" i="2"/>
  <c r="C27" i="2"/>
  <c r="D27" i="2"/>
  <c r="C28" i="2"/>
  <c r="D28" i="2"/>
  <c r="C29" i="2"/>
  <c r="D29" i="2"/>
  <c r="C30" i="2"/>
  <c r="D30" i="2"/>
  <c r="C31" i="2"/>
  <c r="D31" i="2"/>
  <c r="C32" i="2"/>
  <c r="D32" i="2"/>
  <c r="C33" i="2"/>
  <c r="D33" i="2"/>
  <c r="C34" i="2"/>
  <c r="D34" i="2"/>
  <c r="C35" i="2"/>
  <c r="D35" i="2"/>
  <c r="C36" i="2"/>
  <c r="D36" i="2"/>
  <c r="C37" i="2"/>
  <c r="D37" i="2"/>
  <c r="C38" i="2"/>
  <c r="D38" i="2"/>
  <c r="C39" i="2"/>
  <c r="D39" i="2"/>
  <c r="C40" i="2"/>
  <c r="D40" i="2"/>
  <c r="C41" i="2"/>
  <c r="D41" i="2"/>
  <c r="C42" i="2"/>
  <c r="D42" i="2"/>
  <c r="C43" i="2"/>
  <c r="D43" i="2"/>
  <c r="C44" i="2"/>
  <c r="D44" i="2"/>
  <c r="C45" i="2"/>
  <c r="D45" i="2"/>
  <c r="C46" i="2"/>
  <c r="D46" i="2"/>
  <c r="C47" i="2"/>
  <c r="D47" i="2"/>
  <c r="C48" i="2"/>
  <c r="D48" i="2"/>
  <c r="C49" i="2"/>
  <c r="D49" i="2"/>
  <c r="C50" i="2"/>
  <c r="D50" i="2"/>
  <c r="C51" i="2"/>
  <c r="D51" i="2"/>
  <c r="C52" i="2"/>
  <c r="D52" i="2"/>
  <c r="C53" i="2"/>
  <c r="D53" i="2"/>
  <c r="C54" i="2"/>
  <c r="D54" i="2"/>
  <c r="C55" i="2"/>
  <c r="D55" i="2"/>
  <c r="C56" i="2"/>
  <c r="D56" i="2"/>
  <c r="C57" i="2"/>
  <c r="D57" i="2"/>
  <c r="C58" i="2"/>
  <c r="D58" i="2"/>
  <c r="C59" i="2"/>
  <c r="D59" i="2"/>
  <c r="C60" i="2"/>
  <c r="D60" i="2"/>
  <c r="C61" i="2"/>
  <c r="D61" i="2"/>
  <c r="C62" i="2"/>
  <c r="D62" i="2"/>
  <c r="C63" i="2"/>
  <c r="D63" i="2"/>
  <c r="C64" i="2"/>
  <c r="D64" i="2"/>
  <c r="C65" i="2"/>
  <c r="D65" i="2"/>
  <c r="C66" i="2"/>
  <c r="D66" i="2"/>
  <c r="C67" i="2"/>
  <c r="D67" i="2"/>
  <c r="C68" i="2"/>
  <c r="D68" i="2"/>
  <c r="C69" i="2"/>
  <c r="D69" i="2"/>
  <c r="C70" i="2"/>
  <c r="D70" i="2"/>
  <c r="C71" i="2"/>
  <c r="D71" i="2"/>
  <c r="C72" i="2"/>
  <c r="D72" i="2"/>
  <c r="C73" i="2"/>
  <c r="D73" i="2"/>
  <c r="C74" i="2"/>
  <c r="D74" i="2"/>
  <c r="C75" i="2"/>
  <c r="D75" i="2"/>
  <c r="C76" i="2"/>
  <c r="D76" i="2"/>
  <c r="C77" i="2"/>
  <c r="D77" i="2"/>
  <c r="C78" i="2"/>
  <c r="D78" i="2"/>
  <c r="C79" i="2"/>
  <c r="D79" i="2"/>
  <c r="C80" i="2"/>
  <c r="D80" i="2"/>
  <c r="C81" i="2"/>
  <c r="D81" i="2"/>
  <c r="C82" i="2"/>
  <c r="D82" i="2"/>
  <c r="C83" i="2"/>
  <c r="D83" i="2"/>
  <c r="C84" i="2"/>
  <c r="D84" i="2"/>
  <c r="C85" i="2"/>
  <c r="D85" i="2"/>
  <c r="C86" i="2"/>
  <c r="D86" i="2"/>
  <c r="C87" i="2"/>
  <c r="D87" i="2"/>
  <c r="C88" i="2"/>
  <c r="D88" i="2"/>
  <c r="C89" i="2"/>
  <c r="D89" i="2"/>
  <c r="C90" i="2"/>
  <c r="D90" i="2"/>
  <c r="C91" i="2"/>
  <c r="D91" i="2"/>
  <c r="C92" i="2"/>
  <c r="D92" i="2"/>
  <c r="C93" i="2"/>
  <c r="D93" i="2"/>
  <c r="C94" i="2"/>
  <c r="D94" i="2"/>
  <c r="C95" i="2"/>
  <c r="D95" i="2"/>
  <c r="C96" i="2"/>
  <c r="D96" i="2"/>
  <c r="C97" i="2"/>
  <c r="D97" i="2"/>
  <c r="C98" i="2"/>
  <c r="D98" i="2"/>
  <c r="C99" i="2"/>
  <c r="D99" i="2"/>
  <c r="C100" i="2"/>
  <c r="D100" i="2"/>
  <c r="C101" i="2"/>
  <c r="D101" i="2"/>
  <c r="C102" i="2"/>
  <c r="D102" i="2"/>
  <c r="C103" i="2"/>
  <c r="D103" i="2"/>
  <c r="C104" i="2"/>
  <c r="D104" i="2"/>
  <c r="C105" i="2"/>
  <c r="D105" i="2"/>
  <c r="C106" i="2"/>
  <c r="D106" i="2"/>
  <c r="C107" i="2"/>
  <c r="D107" i="2"/>
  <c r="C108" i="2"/>
  <c r="D108" i="2"/>
  <c r="C109" i="2"/>
  <c r="D109" i="2"/>
  <c r="C110" i="2"/>
  <c r="D110" i="2"/>
  <c r="C111" i="2"/>
  <c r="D111" i="2"/>
  <c r="C112" i="2"/>
  <c r="D112" i="2"/>
  <c r="C113" i="2"/>
  <c r="D113" i="2"/>
  <c r="C114" i="2"/>
  <c r="D114" i="2"/>
  <c r="C115" i="2"/>
  <c r="D115" i="2"/>
  <c r="C116" i="2"/>
  <c r="D116" i="2"/>
  <c r="C117" i="2"/>
  <c r="D117" i="2"/>
  <c r="C118" i="2"/>
  <c r="D118" i="2"/>
  <c r="C119" i="2"/>
  <c r="D119" i="2"/>
  <c r="C120" i="2"/>
  <c r="D120" i="2"/>
  <c r="C121" i="2"/>
  <c r="D121" i="2"/>
  <c r="C122" i="2"/>
  <c r="D122" i="2"/>
  <c r="C123" i="2"/>
  <c r="D123" i="2"/>
  <c r="C124" i="2"/>
  <c r="D124" i="2"/>
  <c r="C125" i="2"/>
  <c r="D125" i="2"/>
  <c r="C126" i="2"/>
  <c r="D126" i="2"/>
  <c r="C127" i="2"/>
  <c r="D127" i="2"/>
  <c r="C128" i="2"/>
  <c r="D128" i="2"/>
  <c r="C129" i="2"/>
  <c r="D129" i="2"/>
  <c r="C130" i="2"/>
  <c r="D130" i="2"/>
  <c r="C131" i="2"/>
  <c r="D131" i="2"/>
  <c r="C132" i="2"/>
  <c r="D132" i="2"/>
  <c r="C133" i="2"/>
  <c r="D133" i="2"/>
  <c r="C134" i="2"/>
  <c r="D134" i="2"/>
  <c r="C135" i="2"/>
  <c r="D135" i="2"/>
  <c r="C136" i="2"/>
  <c r="D136" i="2"/>
  <c r="C137" i="2"/>
  <c r="D137" i="2"/>
  <c r="C138" i="2"/>
  <c r="D138" i="2"/>
  <c r="C139" i="2"/>
  <c r="D139" i="2"/>
  <c r="C140" i="2"/>
  <c r="D140" i="2"/>
  <c r="C141" i="2"/>
  <c r="D141" i="2"/>
  <c r="C142" i="2"/>
  <c r="D142" i="2"/>
  <c r="C143" i="2"/>
  <c r="D143" i="2"/>
  <c r="C144" i="2"/>
  <c r="D144" i="2"/>
  <c r="C145" i="2"/>
  <c r="D145" i="2"/>
  <c r="C146" i="2"/>
  <c r="D146" i="2"/>
  <c r="C147" i="2"/>
  <c r="D147" i="2"/>
  <c r="C148" i="2"/>
  <c r="D148" i="2"/>
  <c r="C149" i="2"/>
  <c r="D149" i="2"/>
  <c r="C150" i="2"/>
  <c r="D150" i="2"/>
  <c r="C151" i="2"/>
  <c r="D151" i="2"/>
  <c r="C152" i="2"/>
  <c r="D152" i="2"/>
  <c r="C153" i="2"/>
  <c r="D153" i="2"/>
  <c r="C154" i="2"/>
  <c r="D154" i="2"/>
  <c r="C155" i="2"/>
  <c r="D155" i="2"/>
  <c r="C156" i="2"/>
  <c r="D156" i="2"/>
  <c r="C157" i="2"/>
  <c r="D157" i="2"/>
  <c r="C158" i="2"/>
  <c r="D158" i="2"/>
  <c r="C159" i="2"/>
  <c r="D159" i="2"/>
  <c r="C160" i="2"/>
  <c r="D160" i="2"/>
  <c r="C161" i="2"/>
  <c r="D161" i="2"/>
  <c r="C162" i="2"/>
  <c r="D162" i="2"/>
  <c r="C163" i="2"/>
  <c r="D163" i="2"/>
  <c r="C164" i="2"/>
  <c r="D164" i="2"/>
  <c r="C165" i="2"/>
  <c r="D165" i="2"/>
  <c r="C166" i="2"/>
  <c r="D166" i="2"/>
  <c r="C167" i="2"/>
  <c r="D167" i="2"/>
  <c r="C168" i="2"/>
  <c r="D168" i="2"/>
  <c r="C169" i="2"/>
  <c r="D169" i="2"/>
  <c r="C170" i="2"/>
  <c r="D170" i="2"/>
  <c r="C171" i="2"/>
  <c r="D171" i="2"/>
  <c r="C172" i="2"/>
  <c r="D172" i="2"/>
  <c r="C173" i="2"/>
  <c r="D173" i="2"/>
  <c r="C174" i="2"/>
  <c r="D174" i="2"/>
  <c r="C175" i="2"/>
  <c r="D175" i="2"/>
  <c r="C176" i="2"/>
  <c r="D176" i="2"/>
  <c r="C177" i="2"/>
  <c r="D177" i="2"/>
  <c r="C178" i="2"/>
  <c r="D178" i="2"/>
  <c r="C179" i="2"/>
  <c r="D179" i="2"/>
  <c r="C180" i="2"/>
  <c r="D180" i="2"/>
  <c r="C181" i="2"/>
  <c r="D181" i="2"/>
  <c r="C182" i="2"/>
  <c r="D182" i="2"/>
  <c r="C183" i="2"/>
  <c r="D183" i="2"/>
  <c r="C184" i="2"/>
  <c r="D184" i="2"/>
  <c r="C185" i="2"/>
  <c r="D185" i="2"/>
  <c r="C186" i="2"/>
  <c r="D186" i="2"/>
  <c r="C187" i="2"/>
  <c r="D187" i="2"/>
  <c r="C188" i="2"/>
  <c r="D188" i="2"/>
  <c r="C189" i="2"/>
  <c r="D189" i="2"/>
  <c r="C190" i="2"/>
  <c r="D190" i="2"/>
  <c r="C191" i="2"/>
  <c r="D191" i="2"/>
  <c r="C192" i="2"/>
  <c r="D192" i="2"/>
  <c r="C193" i="2"/>
  <c r="D193" i="2"/>
  <c r="C194" i="2"/>
  <c r="D194" i="2"/>
  <c r="C195" i="2"/>
  <c r="D195" i="2"/>
  <c r="C196" i="2"/>
  <c r="D196" i="2"/>
  <c r="C197" i="2"/>
  <c r="D197" i="2"/>
  <c r="C198" i="2"/>
  <c r="D198" i="2"/>
  <c r="C199" i="2"/>
  <c r="D199" i="2"/>
  <c r="C200" i="2"/>
  <c r="D200" i="2"/>
  <c r="C201" i="2"/>
  <c r="D201" i="2"/>
  <c r="C202" i="2"/>
  <c r="D202" i="2"/>
  <c r="C203" i="2"/>
  <c r="D203" i="2"/>
  <c r="C204" i="2"/>
  <c r="D204" i="2"/>
  <c r="C205" i="2"/>
  <c r="D205" i="2"/>
  <c r="C206" i="2"/>
  <c r="D206" i="2"/>
  <c r="C207" i="2"/>
  <c r="D207" i="2"/>
  <c r="C208" i="2"/>
  <c r="D208" i="2"/>
  <c r="C209" i="2"/>
  <c r="D209" i="2"/>
  <c r="C210" i="2"/>
  <c r="D210" i="2"/>
  <c r="C211" i="2"/>
  <c r="D211" i="2"/>
  <c r="C212" i="2"/>
  <c r="D212" i="2"/>
  <c r="C213" i="2"/>
  <c r="D213" i="2"/>
  <c r="C214" i="2"/>
  <c r="D214" i="2"/>
  <c r="C215" i="2"/>
  <c r="D215" i="2"/>
  <c r="C216" i="2"/>
  <c r="D216" i="2"/>
  <c r="C217" i="2"/>
  <c r="D217" i="2"/>
  <c r="C218" i="2"/>
  <c r="D218" i="2"/>
  <c r="C219" i="2"/>
  <c r="D219" i="2"/>
  <c r="C220" i="2"/>
  <c r="D220" i="2"/>
  <c r="C221" i="2"/>
  <c r="D221" i="2"/>
  <c r="C222" i="2"/>
  <c r="D222" i="2"/>
  <c r="C223" i="2"/>
  <c r="D223" i="2"/>
  <c r="C224" i="2"/>
  <c r="D224" i="2"/>
  <c r="C225" i="2"/>
  <c r="D225" i="2"/>
  <c r="C226" i="2"/>
  <c r="D226" i="2"/>
  <c r="C227" i="2"/>
  <c r="D227" i="2"/>
  <c r="C228" i="2"/>
  <c r="D228" i="2"/>
  <c r="C229" i="2"/>
  <c r="D229" i="2"/>
  <c r="C230" i="2"/>
  <c r="D230" i="2"/>
  <c r="C231" i="2"/>
  <c r="D231" i="2"/>
  <c r="C232" i="2"/>
  <c r="D232" i="2"/>
  <c r="C233" i="2"/>
  <c r="D233" i="2"/>
  <c r="C234" i="2"/>
  <c r="D234" i="2"/>
  <c r="C235" i="2"/>
  <c r="D235" i="2"/>
  <c r="C236" i="2"/>
  <c r="D236" i="2"/>
  <c r="C237" i="2"/>
  <c r="D237" i="2"/>
  <c r="C238" i="2"/>
  <c r="D238" i="2"/>
  <c r="C239" i="2"/>
  <c r="D239" i="2"/>
  <c r="C240" i="2"/>
  <c r="D240" i="2"/>
  <c r="C241" i="2"/>
  <c r="D241" i="2"/>
  <c r="C242" i="2"/>
  <c r="D242" i="2"/>
  <c r="C243" i="2"/>
  <c r="D243" i="2"/>
  <c r="C244" i="2"/>
  <c r="D244" i="2"/>
  <c r="C245" i="2"/>
  <c r="D245" i="2"/>
  <c r="C246" i="2"/>
  <c r="D246" i="2"/>
  <c r="C247" i="2"/>
  <c r="D247" i="2"/>
  <c r="C248" i="2"/>
  <c r="D248" i="2"/>
  <c r="C249" i="2"/>
  <c r="D249" i="2"/>
  <c r="C250" i="2"/>
  <c r="D250" i="2"/>
  <c r="C251" i="2"/>
  <c r="D251" i="2"/>
  <c r="C252" i="2"/>
  <c r="D252" i="2"/>
  <c r="C253" i="2"/>
  <c r="D253" i="2"/>
  <c r="C254" i="2"/>
  <c r="D254" i="2"/>
  <c r="C255" i="2"/>
  <c r="D255" i="2"/>
  <c r="C256" i="2"/>
  <c r="D256" i="2"/>
  <c r="C257" i="2"/>
  <c r="D257" i="2"/>
  <c r="C258" i="2"/>
  <c r="D258" i="2"/>
  <c r="C259" i="2"/>
  <c r="D259" i="2"/>
  <c r="C260" i="2"/>
  <c r="D260" i="2"/>
  <c r="C261" i="2"/>
  <c r="D261" i="2"/>
  <c r="C262" i="2"/>
  <c r="D262" i="2"/>
  <c r="C263" i="2"/>
  <c r="D263" i="2"/>
  <c r="C264" i="2"/>
  <c r="D264" i="2"/>
  <c r="C265" i="2"/>
  <c r="D265" i="2"/>
  <c r="C266" i="2"/>
  <c r="D266" i="2"/>
  <c r="C267" i="2"/>
  <c r="D267" i="2"/>
  <c r="C268" i="2"/>
  <c r="D268" i="2"/>
  <c r="C269" i="2"/>
  <c r="D269" i="2"/>
  <c r="C270" i="2"/>
  <c r="D270" i="2"/>
  <c r="C271" i="2"/>
  <c r="D271" i="2"/>
  <c r="C272" i="2"/>
  <c r="D272" i="2"/>
  <c r="C273" i="2"/>
  <c r="D273" i="2"/>
  <c r="C274" i="2"/>
  <c r="D274" i="2"/>
  <c r="C275" i="2"/>
  <c r="D275" i="2"/>
  <c r="C276" i="2"/>
  <c r="D276" i="2"/>
  <c r="C277" i="2"/>
  <c r="D277" i="2"/>
  <c r="C278" i="2"/>
  <c r="D278" i="2"/>
  <c r="C279" i="2"/>
  <c r="D279" i="2"/>
  <c r="C280" i="2"/>
  <c r="D280" i="2"/>
  <c r="C281" i="2"/>
  <c r="D281" i="2"/>
  <c r="C282" i="2"/>
  <c r="D282" i="2"/>
  <c r="C283" i="2"/>
  <c r="D283" i="2"/>
  <c r="C284" i="2"/>
  <c r="D284" i="2"/>
  <c r="C285" i="2"/>
  <c r="D285" i="2"/>
  <c r="C286" i="2"/>
  <c r="D286" i="2"/>
  <c r="C287" i="2"/>
  <c r="D287" i="2"/>
  <c r="C288" i="2"/>
  <c r="D288" i="2"/>
  <c r="C289" i="2"/>
  <c r="D289" i="2"/>
  <c r="C290" i="2"/>
  <c r="D290" i="2"/>
  <c r="C291" i="2"/>
  <c r="D291" i="2"/>
  <c r="C292" i="2"/>
  <c r="D292" i="2"/>
  <c r="C293" i="2"/>
  <c r="D293" i="2"/>
  <c r="C294" i="2"/>
  <c r="D294" i="2"/>
  <c r="C295" i="2"/>
  <c r="D295" i="2"/>
  <c r="C296" i="2"/>
  <c r="D296" i="2"/>
  <c r="C297" i="2"/>
  <c r="D297" i="2"/>
  <c r="C298" i="2"/>
  <c r="D298" i="2"/>
  <c r="C299" i="2"/>
  <c r="D299" i="2"/>
  <c r="C300" i="2"/>
  <c r="D300" i="2"/>
  <c r="C301" i="2"/>
  <c r="D301" i="2"/>
  <c r="C302" i="2"/>
  <c r="D302" i="2"/>
  <c r="C303" i="2"/>
  <c r="D303" i="2"/>
  <c r="C304" i="2"/>
  <c r="D304" i="2"/>
  <c r="C305" i="2"/>
  <c r="D305" i="2"/>
  <c r="C306" i="2"/>
  <c r="D306" i="2"/>
  <c r="C307" i="2"/>
  <c r="D307" i="2"/>
  <c r="C308" i="2"/>
  <c r="D308" i="2"/>
  <c r="C309" i="2"/>
  <c r="D309" i="2"/>
  <c r="C310" i="2"/>
  <c r="D310" i="2"/>
  <c r="C311" i="2"/>
  <c r="D311" i="2"/>
  <c r="C312" i="2"/>
  <c r="D312" i="2"/>
  <c r="C313" i="2"/>
  <c r="D313" i="2"/>
  <c r="C314" i="2"/>
  <c r="D314" i="2"/>
  <c r="C315" i="2"/>
  <c r="D315" i="2"/>
  <c r="C316" i="2"/>
  <c r="D316" i="2"/>
  <c r="C317" i="2"/>
  <c r="D317" i="2"/>
  <c r="C318" i="2"/>
  <c r="D318" i="2"/>
  <c r="C319" i="2"/>
  <c r="D319" i="2"/>
  <c r="C320" i="2"/>
  <c r="D320" i="2"/>
  <c r="C321" i="2"/>
  <c r="D321" i="2"/>
  <c r="C322" i="2"/>
  <c r="D322" i="2"/>
  <c r="C323" i="2"/>
  <c r="D323" i="2"/>
  <c r="C324" i="2"/>
  <c r="D324" i="2"/>
  <c r="C325" i="2"/>
  <c r="D325" i="2"/>
  <c r="C326" i="2"/>
  <c r="D326" i="2"/>
  <c r="C327" i="2"/>
  <c r="D327" i="2"/>
  <c r="C328" i="2"/>
  <c r="D328" i="2"/>
  <c r="C329" i="2"/>
  <c r="D329" i="2"/>
  <c r="C330" i="2"/>
  <c r="D330" i="2"/>
  <c r="C331" i="2"/>
  <c r="D331" i="2"/>
  <c r="C332" i="2"/>
  <c r="D332" i="2"/>
  <c r="C333" i="2"/>
  <c r="D333" i="2"/>
  <c r="C334" i="2"/>
  <c r="D334" i="2"/>
  <c r="C335" i="2"/>
  <c r="D335" i="2"/>
  <c r="C336" i="2"/>
  <c r="D336" i="2"/>
  <c r="C337" i="2"/>
  <c r="D337" i="2"/>
  <c r="C338" i="2"/>
  <c r="D338" i="2"/>
  <c r="C339" i="2"/>
  <c r="D339" i="2"/>
  <c r="C340" i="2"/>
  <c r="D340" i="2"/>
  <c r="C341" i="2"/>
  <c r="D341" i="2"/>
  <c r="C342" i="2"/>
  <c r="D342" i="2"/>
  <c r="C343" i="2"/>
  <c r="D343" i="2"/>
  <c r="C344" i="2"/>
  <c r="D344" i="2"/>
  <c r="C345" i="2"/>
  <c r="D345" i="2"/>
  <c r="C346" i="2"/>
  <c r="D346" i="2"/>
  <c r="C347" i="2"/>
  <c r="D347" i="2"/>
  <c r="C348" i="2"/>
  <c r="D348" i="2"/>
  <c r="C349" i="2"/>
  <c r="D349" i="2"/>
  <c r="C350" i="2"/>
  <c r="D350" i="2"/>
  <c r="C351" i="2"/>
  <c r="D351" i="2"/>
  <c r="C352" i="2"/>
  <c r="D352" i="2"/>
  <c r="C353" i="2"/>
  <c r="D353" i="2"/>
  <c r="C354" i="2"/>
  <c r="D354" i="2"/>
  <c r="C355" i="2"/>
  <c r="D355" i="2"/>
  <c r="C356" i="2"/>
  <c r="D356" i="2"/>
  <c r="C357" i="2"/>
  <c r="D357" i="2"/>
  <c r="C358" i="2"/>
  <c r="D358" i="2"/>
  <c r="C359" i="2"/>
  <c r="D359" i="2"/>
  <c r="C360" i="2"/>
  <c r="D360" i="2"/>
  <c r="C361" i="2"/>
  <c r="D361" i="2"/>
  <c r="C362" i="2"/>
  <c r="D362" i="2"/>
  <c r="C363" i="2"/>
  <c r="D363" i="2"/>
  <c r="C364" i="2"/>
  <c r="D364" i="2"/>
  <c r="C365" i="2"/>
  <c r="D365" i="2"/>
  <c r="C366" i="2"/>
  <c r="D366" i="2"/>
  <c r="C367" i="2"/>
  <c r="D367" i="2"/>
  <c r="C368" i="2"/>
  <c r="D368" i="2"/>
  <c r="C369" i="2"/>
  <c r="D369" i="2"/>
  <c r="C370" i="2"/>
  <c r="D370" i="2"/>
  <c r="C371" i="2"/>
  <c r="D371" i="2"/>
  <c r="C372" i="2"/>
  <c r="D372" i="2"/>
  <c r="C373" i="2"/>
  <c r="D373" i="2"/>
  <c r="C374" i="2"/>
  <c r="D374" i="2"/>
  <c r="C375" i="2"/>
  <c r="D375" i="2"/>
  <c r="C376" i="2"/>
  <c r="D376" i="2"/>
  <c r="C377" i="2"/>
  <c r="D377" i="2"/>
  <c r="C378" i="2"/>
  <c r="D378" i="2"/>
  <c r="C379" i="2"/>
  <c r="D379" i="2"/>
  <c r="C380" i="2"/>
  <c r="D380" i="2"/>
  <c r="C381" i="2"/>
  <c r="D381" i="2"/>
  <c r="C382" i="2"/>
  <c r="D382" i="2"/>
  <c r="C383" i="2"/>
  <c r="D383" i="2"/>
  <c r="C384" i="2"/>
  <c r="D384" i="2"/>
  <c r="C385" i="2"/>
  <c r="D385" i="2"/>
  <c r="C386" i="2"/>
  <c r="D386" i="2"/>
  <c r="C387" i="2"/>
  <c r="D387" i="2"/>
  <c r="C388" i="2"/>
  <c r="D388" i="2"/>
  <c r="C389" i="2"/>
  <c r="D389" i="2"/>
  <c r="C390" i="2"/>
  <c r="D390" i="2"/>
  <c r="C391" i="2"/>
  <c r="D391" i="2"/>
  <c r="C392" i="2"/>
  <c r="D392" i="2"/>
  <c r="C393" i="2"/>
  <c r="D393" i="2"/>
  <c r="C394" i="2"/>
  <c r="D394" i="2"/>
  <c r="C395" i="2"/>
  <c r="D395" i="2"/>
  <c r="C396" i="2"/>
  <c r="D396" i="2"/>
  <c r="C397" i="2"/>
  <c r="D397" i="2"/>
  <c r="C398" i="2"/>
  <c r="D398" i="2"/>
  <c r="C399" i="2"/>
  <c r="D399" i="2"/>
  <c r="C400" i="2"/>
  <c r="D400" i="2"/>
  <c r="C401" i="2"/>
  <c r="D401" i="2"/>
  <c r="C402" i="2"/>
  <c r="D402" i="2"/>
  <c r="C403" i="2"/>
  <c r="D403" i="2"/>
  <c r="C404" i="2"/>
  <c r="D404" i="2"/>
  <c r="C405" i="2"/>
  <c r="D405" i="2"/>
  <c r="C406" i="2"/>
  <c r="D406" i="2"/>
  <c r="C407" i="2"/>
  <c r="D407" i="2"/>
  <c r="C408" i="2"/>
  <c r="D408" i="2"/>
  <c r="C409" i="2"/>
  <c r="D409" i="2"/>
  <c r="C410" i="2"/>
  <c r="D410" i="2"/>
  <c r="C411" i="2"/>
  <c r="D411" i="2"/>
  <c r="C412" i="2"/>
  <c r="D412" i="2"/>
  <c r="C413" i="2"/>
  <c r="D413" i="2"/>
  <c r="C414" i="2"/>
  <c r="D414" i="2"/>
  <c r="C415" i="2"/>
  <c r="D415" i="2"/>
  <c r="C416" i="2"/>
  <c r="D416" i="2"/>
  <c r="D2" i="2"/>
  <c r="C2" i="2"/>
  <c r="M3" i="2"/>
  <c r="M4" i="2"/>
  <c r="M5" i="2"/>
  <c r="M6" i="2"/>
  <c r="M7" i="2"/>
  <c r="M8" i="2"/>
  <c r="M9" i="2"/>
  <c r="M10" i="2"/>
  <c r="M11" i="2"/>
  <c r="M12" i="2"/>
  <c r="M13" i="2"/>
  <c r="M14" i="2"/>
  <c r="M15" i="2"/>
  <c r="M16" i="2"/>
  <c r="M17" i="2"/>
  <c r="M18" i="2"/>
  <c r="M19" i="2"/>
  <c r="M20" i="2"/>
  <c r="M21" i="2"/>
  <c r="M22" i="2"/>
  <c r="M23" i="2"/>
  <c r="M24" i="2"/>
  <c r="M25" i="2"/>
  <c r="M26" i="2"/>
  <c r="M27" i="2"/>
  <c r="M28" i="2"/>
  <c r="M29" i="2"/>
  <c r="M30" i="2"/>
  <c r="M31" i="2"/>
  <c r="M32" i="2"/>
  <c r="M33" i="2"/>
  <c r="M34" i="2"/>
  <c r="M35" i="2"/>
  <c r="M36" i="2"/>
  <c r="M37" i="2"/>
  <c r="M38" i="2"/>
  <c r="M39" i="2"/>
  <c r="M40" i="2"/>
  <c r="M41" i="2"/>
  <c r="M42" i="2"/>
  <c r="M43" i="2"/>
  <c r="M44" i="2"/>
  <c r="M45" i="2"/>
  <c r="M46" i="2"/>
  <c r="M47" i="2"/>
  <c r="M48" i="2"/>
  <c r="M49" i="2"/>
  <c r="M50" i="2"/>
  <c r="M51" i="2"/>
  <c r="M52" i="2"/>
  <c r="M53" i="2"/>
  <c r="M54" i="2"/>
  <c r="M55" i="2"/>
  <c r="M56" i="2"/>
  <c r="M57" i="2"/>
  <c r="M58" i="2"/>
  <c r="M59" i="2"/>
  <c r="M60" i="2"/>
  <c r="M61" i="2"/>
  <c r="M62" i="2"/>
  <c r="M63" i="2"/>
  <c r="M64" i="2"/>
  <c r="M65" i="2"/>
  <c r="M66" i="2"/>
  <c r="M67" i="2"/>
  <c r="M68" i="2"/>
  <c r="M69" i="2"/>
  <c r="M70" i="2"/>
  <c r="M71" i="2"/>
  <c r="M72" i="2"/>
  <c r="M73" i="2"/>
  <c r="M74" i="2"/>
  <c r="M75" i="2"/>
  <c r="M76" i="2"/>
  <c r="M77" i="2"/>
  <c r="M78" i="2"/>
  <c r="M79" i="2"/>
  <c r="M80" i="2"/>
  <c r="M81" i="2"/>
  <c r="M82" i="2"/>
  <c r="M83" i="2"/>
  <c r="M84" i="2"/>
  <c r="M85" i="2"/>
  <c r="M86" i="2"/>
  <c r="M87" i="2"/>
  <c r="M88" i="2"/>
  <c r="M89" i="2"/>
  <c r="M90" i="2"/>
  <c r="M91" i="2"/>
  <c r="M92" i="2"/>
  <c r="M93" i="2"/>
  <c r="M94" i="2"/>
  <c r="M95" i="2"/>
  <c r="M96" i="2"/>
  <c r="M97" i="2"/>
  <c r="M98" i="2"/>
  <c r="M99" i="2"/>
  <c r="M100" i="2"/>
  <c r="M101" i="2"/>
  <c r="M102" i="2"/>
  <c r="M103" i="2"/>
  <c r="M104" i="2"/>
  <c r="M105" i="2"/>
  <c r="M106" i="2"/>
  <c r="M107" i="2"/>
  <c r="M108" i="2"/>
  <c r="M109" i="2"/>
  <c r="M110" i="2"/>
  <c r="M111" i="2"/>
  <c r="M112" i="2"/>
  <c r="M113" i="2"/>
  <c r="M114" i="2"/>
  <c r="M115" i="2"/>
  <c r="M116" i="2"/>
  <c r="M117" i="2"/>
  <c r="M118" i="2"/>
  <c r="M119" i="2"/>
  <c r="M120" i="2"/>
  <c r="M121" i="2"/>
  <c r="M122" i="2"/>
  <c r="M123" i="2"/>
  <c r="M124" i="2"/>
  <c r="M125" i="2"/>
  <c r="M126" i="2"/>
  <c r="M127" i="2"/>
  <c r="M128" i="2"/>
  <c r="M129" i="2"/>
  <c r="M130" i="2"/>
  <c r="M131" i="2"/>
  <c r="M132" i="2"/>
  <c r="M133" i="2"/>
  <c r="M134" i="2"/>
  <c r="M135" i="2"/>
  <c r="M136" i="2"/>
  <c r="M137" i="2"/>
  <c r="M138" i="2"/>
  <c r="M139" i="2"/>
  <c r="M140" i="2"/>
  <c r="M141" i="2"/>
  <c r="M142" i="2"/>
  <c r="M143" i="2"/>
  <c r="M144" i="2"/>
  <c r="M145" i="2"/>
  <c r="M146" i="2"/>
  <c r="M147" i="2"/>
  <c r="M148" i="2"/>
  <c r="M149" i="2"/>
  <c r="M150" i="2"/>
  <c r="M151" i="2"/>
  <c r="M152" i="2"/>
  <c r="M153" i="2"/>
  <c r="M154" i="2"/>
  <c r="M155" i="2"/>
  <c r="M156" i="2"/>
  <c r="M157" i="2"/>
  <c r="M158" i="2"/>
  <c r="M159" i="2"/>
  <c r="M160" i="2"/>
  <c r="M161" i="2"/>
  <c r="M162" i="2"/>
  <c r="M163" i="2"/>
  <c r="M164" i="2"/>
  <c r="M165" i="2"/>
  <c r="M166" i="2"/>
  <c r="M167" i="2"/>
  <c r="M168" i="2"/>
  <c r="M169" i="2"/>
  <c r="M170" i="2"/>
  <c r="M171" i="2"/>
  <c r="M172" i="2"/>
  <c r="M173" i="2"/>
  <c r="M174" i="2"/>
  <c r="M175" i="2"/>
  <c r="M176" i="2"/>
  <c r="M177" i="2"/>
  <c r="M178" i="2"/>
  <c r="M179" i="2"/>
  <c r="M180" i="2"/>
  <c r="M181" i="2"/>
  <c r="M182" i="2"/>
  <c r="M183" i="2"/>
  <c r="M184" i="2"/>
  <c r="M185" i="2"/>
  <c r="M186" i="2"/>
  <c r="M187" i="2"/>
  <c r="M188" i="2"/>
  <c r="M189" i="2"/>
  <c r="M190" i="2"/>
  <c r="M191" i="2"/>
  <c r="M192" i="2"/>
  <c r="M193" i="2"/>
  <c r="M194" i="2"/>
  <c r="M195" i="2"/>
  <c r="M196" i="2"/>
  <c r="M197" i="2"/>
  <c r="M198" i="2"/>
  <c r="M199" i="2"/>
  <c r="M200" i="2"/>
  <c r="M201" i="2"/>
  <c r="M202" i="2"/>
  <c r="M203" i="2"/>
  <c r="M204" i="2"/>
  <c r="M205" i="2"/>
  <c r="M206" i="2"/>
  <c r="M207" i="2"/>
  <c r="M208" i="2"/>
  <c r="M209" i="2"/>
  <c r="M210" i="2"/>
  <c r="M211" i="2"/>
  <c r="M212" i="2"/>
  <c r="M213" i="2"/>
  <c r="M214" i="2"/>
  <c r="M215" i="2"/>
  <c r="M216" i="2"/>
  <c r="M217" i="2"/>
  <c r="M218" i="2"/>
  <c r="M219" i="2"/>
  <c r="M220" i="2"/>
  <c r="M221" i="2"/>
  <c r="M222" i="2"/>
  <c r="M223" i="2"/>
  <c r="M224" i="2"/>
  <c r="M225" i="2"/>
  <c r="M226" i="2"/>
  <c r="M227" i="2"/>
  <c r="M228" i="2"/>
  <c r="M229" i="2"/>
  <c r="M230" i="2"/>
  <c r="M231" i="2"/>
  <c r="M232" i="2"/>
  <c r="M233" i="2"/>
  <c r="M234" i="2"/>
  <c r="M235" i="2"/>
  <c r="M236" i="2"/>
  <c r="M237" i="2"/>
  <c r="M238" i="2"/>
  <c r="M239" i="2"/>
  <c r="M240" i="2"/>
  <c r="M241" i="2"/>
  <c r="M242" i="2"/>
  <c r="M243" i="2"/>
  <c r="M244" i="2"/>
  <c r="M245" i="2"/>
  <c r="M246" i="2"/>
  <c r="M247" i="2"/>
  <c r="M248" i="2"/>
  <c r="M249" i="2"/>
  <c r="M250" i="2"/>
  <c r="M251" i="2"/>
  <c r="M252" i="2"/>
  <c r="M253" i="2"/>
  <c r="M254" i="2"/>
  <c r="M255" i="2"/>
  <c r="M256" i="2"/>
  <c r="M257" i="2"/>
  <c r="M258" i="2"/>
  <c r="M259" i="2"/>
  <c r="M260" i="2"/>
  <c r="M261" i="2"/>
  <c r="M262" i="2"/>
  <c r="M263" i="2"/>
  <c r="M264" i="2"/>
  <c r="M265" i="2"/>
  <c r="M266" i="2"/>
  <c r="M267" i="2"/>
  <c r="M268" i="2"/>
  <c r="M269" i="2"/>
  <c r="M270" i="2"/>
  <c r="M271" i="2"/>
  <c r="M272" i="2"/>
  <c r="M273" i="2"/>
  <c r="M274" i="2"/>
  <c r="M275" i="2"/>
  <c r="M276" i="2"/>
  <c r="M277" i="2"/>
  <c r="M278" i="2"/>
  <c r="M279" i="2"/>
  <c r="M280" i="2"/>
  <c r="M281" i="2"/>
  <c r="M282" i="2"/>
  <c r="M283" i="2"/>
  <c r="M284" i="2"/>
  <c r="M285" i="2"/>
  <c r="M286" i="2"/>
  <c r="M287" i="2"/>
  <c r="M288" i="2"/>
  <c r="M289" i="2"/>
  <c r="M290" i="2"/>
  <c r="M291" i="2"/>
  <c r="M292" i="2"/>
  <c r="M293" i="2"/>
  <c r="M294" i="2"/>
  <c r="M295" i="2"/>
  <c r="M296" i="2"/>
  <c r="M297" i="2"/>
  <c r="M298" i="2"/>
  <c r="M299" i="2"/>
  <c r="M300" i="2"/>
  <c r="M301" i="2"/>
  <c r="M302" i="2"/>
  <c r="M303" i="2"/>
  <c r="M304" i="2"/>
  <c r="M305" i="2"/>
  <c r="M306" i="2"/>
  <c r="M307" i="2"/>
  <c r="M308" i="2"/>
  <c r="M309" i="2"/>
  <c r="M310" i="2"/>
  <c r="M311" i="2"/>
  <c r="M312" i="2"/>
  <c r="M313" i="2"/>
  <c r="M314" i="2"/>
  <c r="M315" i="2"/>
  <c r="M316" i="2"/>
  <c r="M317" i="2"/>
  <c r="M318" i="2"/>
  <c r="M319" i="2"/>
  <c r="M320" i="2"/>
  <c r="M321" i="2"/>
  <c r="M322" i="2"/>
  <c r="M323" i="2"/>
  <c r="M324" i="2"/>
  <c r="M325" i="2"/>
  <c r="M326" i="2"/>
  <c r="M327" i="2"/>
  <c r="M328" i="2"/>
  <c r="M329" i="2"/>
  <c r="M330" i="2"/>
  <c r="M331" i="2"/>
  <c r="M332" i="2"/>
  <c r="M333" i="2"/>
  <c r="M334" i="2"/>
  <c r="M335" i="2"/>
  <c r="M336" i="2"/>
  <c r="M337" i="2"/>
  <c r="M338" i="2"/>
  <c r="M339" i="2"/>
  <c r="M340" i="2"/>
  <c r="M341" i="2"/>
  <c r="M342" i="2"/>
  <c r="M343" i="2"/>
  <c r="M344" i="2"/>
  <c r="M345" i="2"/>
  <c r="M346" i="2"/>
  <c r="M347" i="2"/>
  <c r="M348" i="2"/>
  <c r="M349" i="2"/>
  <c r="M350" i="2"/>
  <c r="M351" i="2"/>
  <c r="M352" i="2"/>
  <c r="M353" i="2"/>
  <c r="M354" i="2"/>
  <c r="M355" i="2"/>
  <c r="M356" i="2"/>
  <c r="M357" i="2"/>
  <c r="M358" i="2"/>
  <c r="M359" i="2"/>
  <c r="M360" i="2"/>
  <c r="M361" i="2"/>
  <c r="M362" i="2"/>
  <c r="M363" i="2"/>
  <c r="M364" i="2"/>
  <c r="M365" i="2"/>
  <c r="M366" i="2"/>
  <c r="M367" i="2"/>
  <c r="M368" i="2"/>
  <c r="M369" i="2"/>
  <c r="M370" i="2"/>
  <c r="M371" i="2"/>
  <c r="M372" i="2"/>
  <c r="M373" i="2"/>
  <c r="M374" i="2"/>
  <c r="M375" i="2"/>
  <c r="M376" i="2"/>
  <c r="M377" i="2"/>
  <c r="M378" i="2"/>
  <c r="M379" i="2"/>
  <c r="M380" i="2"/>
  <c r="M381" i="2"/>
  <c r="M382" i="2"/>
  <c r="M383" i="2"/>
  <c r="M384" i="2"/>
  <c r="M385" i="2"/>
  <c r="M386" i="2"/>
  <c r="M387" i="2"/>
  <c r="M388" i="2"/>
  <c r="M389" i="2"/>
  <c r="M390" i="2"/>
  <c r="M391" i="2"/>
  <c r="M392" i="2"/>
  <c r="M393" i="2"/>
  <c r="M394" i="2"/>
  <c r="M395" i="2"/>
  <c r="M396" i="2"/>
  <c r="M397" i="2"/>
  <c r="M398" i="2"/>
  <c r="M399" i="2"/>
  <c r="M400" i="2"/>
  <c r="M401" i="2"/>
  <c r="M402" i="2"/>
  <c r="M403" i="2"/>
  <c r="M404" i="2"/>
  <c r="M405" i="2"/>
  <c r="M406" i="2"/>
  <c r="M407" i="2"/>
  <c r="M408" i="2"/>
  <c r="M409" i="2"/>
  <c r="M410" i="2"/>
  <c r="M411" i="2"/>
  <c r="M412" i="2"/>
  <c r="M413" i="2"/>
  <c r="M414" i="2"/>
  <c r="M415" i="2"/>
  <c r="M416" i="2"/>
  <c r="M2" i="2"/>
  <c r="E3" i="2"/>
  <c r="E4" i="2"/>
  <c r="E5" i="2"/>
  <c r="E6" i="2"/>
  <c r="E7" i="2"/>
  <c r="E8" i="2"/>
  <c r="E9" i="2"/>
  <c r="E10" i="2"/>
  <c r="E11" i="2"/>
  <c r="E12" i="2"/>
  <c r="E13" i="2"/>
  <c r="E14" i="2"/>
  <c r="E15" i="2"/>
  <c r="E16" i="2"/>
  <c r="E17" i="2"/>
  <c r="E18" i="2"/>
  <c r="E19" i="2"/>
  <c r="E20" i="2"/>
  <c r="E21" i="2"/>
  <c r="E22" i="2"/>
  <c r="E23" i="2"/>
  <c r="E24" i="2"/>
  <c r="E25" i="2"/>
  <c r="E26" i="2"/>
  <c r="E27" i="2"/>
  <c r="E28" i="2"/>
  <c r="E29" i="2"/>
  <c r="E30" i="2"/>
  <c r="E31" i="2"/>
  <c r="E32" i="2"/>
  <c r="E33" i="2"/>
  <c r="E34" i="2"/>
  <c r="E35" i="2"/>
  <c r="E36" i="2"/>
  <c r="E37" i="2"/>
  <c r="E38" i="2"/>
  <c r="E39" i="2"/>
  <c r="E40" i="2"/>
  <c r="E41" i="2"/>
  <c r="E42" i="2"/>
  <c r="E43" i="2"/>
  <c r="E44" i="2"/>
  <c r="E45" i="2"/>
  <c r="E46" i="2"/>
  <c r="E47" i="2"/>
  <c r="E48" i="2"/>
  <c r="E49" i="2"/>
  <c r="E50" i="2"/>
  <c r="E51" i="2"/>
  <c r="E52" i="2"/>
  <c r="E53" i="2"/>
  <c r="E54" i="2"/>
  <c r="E55" i="2"/>
  <c r="E56" i="2"/>
  <c r="E57" i="2"/>
  <c r="E58" i="2"/>
  <c r="E59" i="2"/>
  <c r="E60" i="2"/>
  <c r="E61" i="2"/>
  <c r="E62" i="2"/>
  <c r="E63" i="2"/>
  <c r="E64" i="2"/>
  <c r="E65" i="2"/>
  <c r="E66" i="2"/>
  <c r="E67" i="2"/>
  <c r="E68" i="2"/>
  <c r="E69" i="2"/>
  <c r="E70" i="2"/>
  <c r="E71" i="2"/>
  <c r="E72" i="2"/>
  <c r="E73" i="2"/>
  <c r="E74" i="2"/>
  <c r="E75" i="2"/>
  <c r="E76" i="2"/>
  <c r="E77" i="2"/>
  <c r="E78" i="2"/>
  <c r="E79" i="2"/>
  <c r="E80" i="2"/>
  <c r="E81" i="2"/>
  <c r="E82" i="2"/>
  <c r="E83" i="2"/>
  <c r="E84" i="2"/>
  <c r="E85" i="2"/>
  <c r="E86" i="2"/>
  <c r="E87" i="2"/>
  <c r="E88" i="2"/>
  <c r="E89" i="2"/>
  <c r="E90" i="2"/>
  <c r="E91" i="2"/>
  <c r="E92" i="2"/>
  <c r="E93" i="2"/>
  <c r="E94" i="2"/>
  <c r="E95" i="2"/>
  <c r="E96" i="2"/>
  <c r="E97" i="2"/>
  <c r="E98" i="2"/>
  <c r="E99" i="2"/>
  <c r="E100" i="2"/>
  <c r="E101" i="2"/>
  <c r="E102" i="2"/>
  <c r="E103" i="2"/>
  <c r="E104" i="2"/>
  <c r="E105" i="2"/>
  <c r="E106" i="2"/>
  <c r="E107" i="2"/>
  <c r="E108" i="2"/>
  <c r="E109" i="2"/>
  <c r="E110" i="2"/>
  <c r="E111" i="2"/>
  <c r="E112" i="2"/>
  <c r="E113" i="2"/>
  <c r="E114" i="2"/>
  <c r="E115" i="2"/>
  <c r="E116" i="2"/>
  <c r="E117" i="2"/>
  <c r="E118" i="2"/>
  <c r="E119" i="2"/>
  <c r="E120" i="2"/>
  <c r="E121" i="2"/>
  <c r="E122" i="2"/>
  <c r="E123" i="2"/>
  <c r="E124" i="2"/>
  <c r="E125" i="2"/>
  <c r="E126" i="2"/>
  <c r="E127" i="2"/>
  <c r="E128" i="2"/>
  <c r="E129" i="2"/>
  <c r="E130" i="2"/>
  <c r="E131" i="2"/>
  <c r="E132" i="2"/>
  <c r="E133" i="2"/>
  <c r="E134" i="2"/>
  <c r="E135" i="2"/>
  <c r="E136" i="2"/>
  <c r="E137" i="2"/>
  <c r="E138" i="2"/>
  <c r="E139" i="2"/>
  <c r="E140" i="2"/>
  <c r="E141" i="2"/>
  <c r="E142" i="2"/>
  <c r="E143" i="2"/>
  <c r="E144" i="2"/>
  <c r="E145" i="2"/>
  <c r="E146" i="2"/>
  <c r="E147" i="2"/>
  <c r="E148" i="2"/>
  <c r="E149" i="2"/>
  <c r="E150" i="2"/>
  <c r="E151" i="2"/>
  <c r="E152" i="2"/>
  <c r="E153" i="2"/>
  <c r="E154" i="2"/>
  <c r="E155" i="2"/>
  <c r="E156" i="2"/>
  <c r="E157" i="2"/>
  <c r="E158" i="2"/>
  <c r="E159" i="2"/>
  <c r="E160" i="2"/>
  <c r="E161" i="2"/>
  <c r="E162" i="2"/>
  <c r="E163" i="2"/>
  <c r="E164" i="2"/>
  <c r="E165" i="2"/>
  <c r="E166" i="2"/>
  <c r="E167" i="2"/>
  <c r="E168" i="2"/>
  <c r="E169" i="2"/>
  <c r="E170" i="2"/>
  <c r="E171" i="2"/>
  <c r="E172" i="2"/>
  <c r="E173" i="2"/>
  <c r="E174" i="2"/>
  <c r="E175" i="2"/>
  <c r="E176" i="2"/>
  <c r="E177" i="2"/>
  <c r="E178" i="2"/>
  <c r="E179" i="2"/>
  <c r="E180" i="2"/>
  <c r="E181" i="2"/>
  <c r="E182" i="2"/>
  <c r="E183" i="2"/>
  <c r="E184" i="2"/>
  <c r="E185" i="2"/>
  <c r="E186" i="2"/>
  <c r="E187" i="2"/>
  <c r="E188" i="2"/>
  <c r="E189" i="2"/>
  <c r="E190" i="2"/>
  <c r="E191" i="2"/>
  <c r="E192" i="2"/>
  <c r="E193" i="2"/>
  <c r="E194" i="2"/>
  <c r="E195" i="2"/>
  <c r="E196" i="2"/>
  <c r="E197" i="2"/>
  <c r="E198" i="2"/>
  <c r="E199" i="2"/>
  <c r="E200" i="2"/>
  <c r="E201" i="2"/>
  <c r="E202" i="2"/>
  <c r="E203" i="2"/>
  <c r="E204" i="2"/>
  <c r="E205" i="2"/>
  <c r="E206" i="2"/>
  <c r="E207" i="2"/>
  <c r="E208" i="2"/>
  <c r="E209" i="2"/>
  <c r="E210" i="2"/>
  <c r="E211" i="2"/>
  <c r="E212" i="2"/>
  <c r="E213" i="2"/>
  <c r="E214" i="2"/>
  <c r="E215" i="2"/>
  <c r="E216" i="2"/>
  <c r="E217" i="2"/>
  <c r="E218" i="2"/>
  <c r="E219" i="2"/>
  <c r="E220" i="2"/>
  <c r="E221" i="2"/>
  <c r="E222" i="2"/>
  <c r="E223" i="2"/>
  <c r="E224" i="2"/>
  <c r="E225" i="2"/>
  <c r="E226" i="2"/>
  <c r="E227" i="2"/>
  <c r="E228" i="2"/>
  <c r="E229" i="2"/>
  <c r="E230" i="2"/>
  <c r="E231" i="2"/>
  <c r="E232" i="2"/>
  <c r="E233" i="2"/>
  <c r="E234" i="2"/>
  <c r="E235" i="2"/>
  <c r="E236" i="2"/>
  <c r="E237" i="2"/>
  <c r="E238" i="2"/>
  <c r="E239" i="2"/>
  <c r="E240" i="2"/>
  <c r="E241" i="2"/>
  <c r="E242" i="2"/>
  <c r="E243" i="2"/>
  <c r="E244" i="2"/>
  <c r="E245" i="2"/>
  <c r="E246" i="2"/>
  <c r="E247" i="2"/>
  <c r="E248" i="2"/>
  <c r="E249" i="2"/>
  <c r="E250" i="2"/>
  <c r="E251" i="2"/>
  <c r="E252" i="2"/>
  <c r="E253" i="2"/>
  <c r="E254" i="2"/>
  <c r="E255" i="2"/>
  <c r="E256" i="2"/>
  <c r="E257" i="2"/>
  <c r="E258" i="2"/>
  <c r="E259" i="2"/>
  <c r="E260" i="2"/>
  <c r="E261" i="2"/>
  <c r="E262" i="2"/>
  <c r="E263" i="2"/>
  <c r="E264" i="2"/>
  <c r="E265" i="2"/>
  <c r="E266" i="2"/>
  <c r="E267" i="2"/>
  <c r="E268" i="2"/>
  <c r="E269" i="2"/>
  <c r="E270" i="2"/>
  <c r="E271" i="2"/>
  <c r="E272" i="2"/>
  <c r="E273" i="2"/>
  <c r="E274" i="2"/>
  <c r="E275" i="2"/>
  <c r="E276" i="2"/>
  <c r="E277" i="2"/>
  <c r="E278" i="2"/>
  <c r="E279" i="2"/>
  <c r="E280" i="2"/>
  <c r="E281" i="2"/>
  <c r="E282" i="2"/>
  <c r="E283" i="2"/>
  <c r="E284" i="2"/>
  <c r="E285" i="2"/>
  <c r="E286" i="2"/>
  <c r="E287" i="2"/>
  <c r="E288" i="2"/>
  <c r="E289" i="2"/>
  <c r="E290" i="2"/>
  <c r="E291" i="2"/>
  <c r="E292" i="2"/>
  <c r="E293" i="2"/>
  <c r="E294" i="2"/>
  <c r="E295" i="2"/>
  <c r="E296" i="2"/>
  <c r="E297" i="2"/>
  <c r="E298" i="2"/>
  <c r="E299" i="2"/>
  <c r="E300" i="2"/>
  <c r="E301" i="2"/>
  <c r="E302" i="2"/>
  <c r="E303" i="2"/>
  <c r="E304" i="2"/>
  <c r="E305" i="2"/>
  <c r="E306" i="2"/>
  <c r="E307" i="2"/>
  <c r="E308" i="2"/>
  <c r="E309" i="2"/>
  <c r="E310" i="2"/>
  <c r="E311" i="2"/>
  <c r="E312" i="2"/>
  <c r="E313" i="2"/>
  <c r="E314" i="2"/>
  <c r="E315" i="2"/>
  <c r="E316" i="2"/>
  <c r="E317" i="2"/>
  <c r="E318" i="2"/>
  <c r="E319" i="2"/>
  <c r="E320" i="2"/>
  <c r="E321" i="2"/>
  <c r="E322" i="2"/>
  <c r="E323" i="2"/>
  <c r="E324" i="2"/>
  <c r="E325" i="2"/>
  <c r="E326" i="2"/>
  <c r="E327" i="2"/>
  <c r="E328" i="2"/>
  <c r="E329" i="2"/>
  <c r="E330" i="2"/>
  <c r="E331" i="2"/>
  <c r="E332" i="2"/>
  <c r="E333" i="2"/>
  <c r="E334" i="2"/>
  <c r="E335" i="2"/>
  <c r="E336" i="2"/>
  <c r="E337" i="2"/>
  <c r="E338" i="2"/>
  <c r="E339" i="2"/>
  <c r="E340" i="2"/>
  <c r="E341" i="2"/>
  <c r="E342" i="2"/>
  <c r="E343" i="2"/>
  <c r="E344" i="2"/>
  <c r="E345" i="2"/>
  <c r="E346" i="2"/>
  <c r="E347" i="2"/>
  <c r="E348" i="2"/>
  <c r="E349" i="2"/>
  <c r="E350" i="2"/>
  <c r="E351" i="2"/>
  <c r="E352" i="2"/>
  <c r="E353" i="2"/>
  <c r="E354" i="2"/>
  <c r="E355" i="2"/>
  <c r="E356" i="2"/>
  <c r="E357" i="2"/>
  <c r="E358" i="2"/>
  <c r="E359" i="2"/>
  <c r="E360" i="2"/>
  <c r="E361" i="2"/>
  <c r="E362" i="2"/>
  <c r="E363" i="2"/>
  <c r="E364" i="2"/>
  <c r="E365" i="2"/>
  <c r="E366" i="2"/>
  <c r="E367" i="2"/>
  <c r="E368" i="2"/>
  <c r="E369" i="2"/>
  <c r="E370" i="2"/>
  <c r="E371" i="2"/>
  <c r="E372" i="2"/>
  <c r="E373" i="2"/>
  <c r="E374" i="2"/>
  <c r="E375" i="2"/>
  <c r="E376" i="2"/>
  <c r="E377" i="2"/>
  <c r="E378" i="2"/>
  <c r="E379" i="2"/>
  <c r="E380" i="2"/>
  <c r="E381" i="2"/>
  <c r="E382" i="2"/>
  <c r="E383" i="2"/>
  <c r="E384" i="2"/>
  <c r="E385" i="2"/>
  <c r="E386" i="2"/>
  <c r="E387" i="2"/>
  <c r="E388" i="2"/>
  <c r="E389" i="2"/>
  <c r="E390" i="2"/>
  <c r="E391" i="2"/>
  <c r="E392" i="2"/>
  <c r="E393" i="2"/>
  <c r="E394" i="2"/>
  <c r="E395" i="2"/>
  <c r="E396" i="2"/>
  <c r="E397" i="2"/>
  <c r="E398" i="2"/>
  <c r="E399" i="2"/>
  <c r="E400" i="2"/>
  <c r="E401" i="2"/>
  <c r="E402" i="2"/>
  <c r="E403" i="2"/>
  <c r="E404" i="2"/>
  <c r="E405" i="2"/>
  <c r="E406" i="2"/>
  <c r="E407" i="2"/>
  <c r="E408" i="2"/>
  <c r="E409" i="2"/>
  <c r="E410" i="2"/>
  <c r="E411" i="2"/>
  <c r="E412" i="2"/>
  <c r="E413" i="2"/>
  <c r="E414" i="2"/>
  <c r="E415" i="2"/>
  <c r="E416" i="2"/>
  <c r="E2" i="2"/>
  <c r="R3" i="3"/>
  <c r="R13" i="3"/>
  <c r="R12" i="3"/>
  <c r="R11" i="3"/>
  <c r="R10" i="3"/>
  <c r="R9" i="3"/>
  <c r="R8" i="3"/>
  <c r="R7" i="3"/>
  <c r="R6" i="3"/>
  <c r="R5" i="3"/>
  <c r="R4" i="3"/>
  <c r="L26" i="3"/>
  <c r="L25" i="3"/>
  <c r="L24" i="3"/>
  <c r="L23" i="3"/>
  <c r="L22" i="3"/>
  <c r="L21" i="3"/>
  <c r="L20" i="3"/>
  <c r="L14" i="3"/>
  <c r="L13" i="3"/>
  <c r="L12" i="3"/>
  <c r="L11" i="3"/>
  <c r="L10" i="3"/>
  <c r="L9" i="3"/>
  <c r="L8" i="3"/>
  <c r="L7" i="3"/>
  <c r="L6" i="3"/>
  <c r="L5" i="3"/>
  <c r="L4" i="3"/>
  <c r="L3" i="3"/>
  <c r="F28" i="3"/>
  <c r="F26" i="3"/>
  <c r="F23" i="3"/>
  <c r="F20" i="3"/>
  <c r="F18" i="3"/>
  <c r="F15" i="3"/>
  <c r="F12" i="3"/>
  <c r="F9" i="3"/>
  <c r="F6" i="3"/>
  <c r="F3" i="3"/>
</calcChain>
</file>

<file path=xl/sharedStrings.xml><?xml version="1.0" encoding="utf-8"?>
<sst xmlns="http://schemas.openxmlformats.org/spreadsheetml/2006/main" count="7938" uniqueCount="1038">
  <si>
    <t>MS</t>
  </si>
  <si>
    <t>World Superseries</t>
  </si>
  <si>
    <t>Malaysia</t>
  </si>
  <si>
    <t>Sony Dwi KUNCORO</t>
  </si>
  <si>
    <t>21-13 21-17</t>
  </si>
  <si>
    <t>21-14 21-16</t>
  </si>
  <si>
    <t>CHONG Wei Feng</t>
  </si>
  <si>
    <t>Choong Hann WONG</t>
  </si>
  <si>
    <t>LIEW Daren</t>
  </si>
  <si>
    <t>Tien Minh NGUYEN</t>
  </si>
  <si>
    <t>21-17 21-16</t>
  </si>
  <si>
    <t>Q Qual. R16</t>
  </si>
  <si>
    <t>21-14 21-17</t>
  </si>
  <si>
    <t>21-15 21-16</t>
  </si>
  <si>
    <t>10-21 18-21</t>
  </si>
  <si>
    <t>Q Qual. QF</t>
  </si>
  <si>
    <t>21-16 21-15</t>
  </si>
  <si>
    <t>R32</t>
  </si>
  <si>
    <t>21-11 21-11</t>
  </si>
  <si>
    <t>Chetan ANAND</t>
  </si>
  <si>
    <t>PARK Sung Hwan</t>
  </si>
  <si>
    <t>Peter Hoeg GADE</t>
  </si>
  <si>
    <t>22-20 21-11</t>
  </si>
  <si>
    <t>Boonsak PONSANA</t>
  </si>
  <si>
    <t>Ronald SUSILO</t>
  </si>
  <si>
    <t>Andrew SMITH</t>
  </si>
  <si>
    <t>CHEN Yu</t>
  </si>
  <si>
    <t>CHAN Yan Kit</t>
  </si>
  <si>
    <t>CHEN Jin</t>
  </si>
  <si>
    <t>LIN Dan</t>
  </si>
  <si>
    <t>Taufik HIDAYAT</t>
  </si>
  <si>
    <t>21-19 23-21</t>
  </si>
  <si>
    <t>Muhammad Hafiz HASHIM</t>
  </si>
  <si>
    <t>CHEN Hong</t>
  </si>
  <si>
    <t>Przemyslaw WACHA</t>
  </si>
  <si>
    <t>NG Wei</t>
  </si>
  <si>
    <t>Beng Hong KUAN</t>
  </si>
  <si>
    <t>19-21 17-21</t>
  </si>
  <si>
    <t>LEE Chong Wei</t>
  </si>
  <si>
    <t>BAO Chunlai</t>
  </si>
  <si>
    <t>R16</t>
  </si>
  <si>
    <t>21-13 21-10</t>
  </si>
  <si>
    <t>QF</t>
  </si>
  <si>
    <t>21-14 21-18</t>
  </si>
  <si>
    <t>21-14 21-13</t>
  </si>
  <si>
    <t>19-21 15-21</t>
  </si>
  <si>
    <t>SF</t>
  </si>
  <si>
    <t>Final</t>
  </si>
  <si>
    <t>Korea</t>
  </si>
  <si>
    <t>HONG Ji Hoon</t>
  </si>
  <si>
    <t>21-6 21-15</t>
  </si>
  <si>
    <t>SON Wan Ho</t>
  </si>
  <si>
    <t>21-18 21-16</t>
  </si>
  <si>
    <t>21-9 21-14</t>
  </si>
  <si>
    <t>LEE Hyun Il</t>
  </si>
  <si>
    <t>21-17 21-8</t>
  </si>
  <si>
    <t>21-10 21-13</t>
  </si>
  <si>
    <t>21-14 21-15</t>
  </si>
  <si>
    <t>21-18 21-15</t>
  </si>
  <si>
    <t>21-14 21-19</t>
  </si>
  <si>
    <t>England</t>
  </si>
  <si>
    <t>PARUPALLI Kashyap</t>
  </si>
  <si>
    <t>Rajiv OUSEPH</t>
  </si>
  <si>
    <t>Anand PAWAR</t>
  </si>
  <si>
    <t>Hans-Kristian Solberg VITTINGHUS</t>
  </si>
  <si>
    <t>Tommy SUGIARTO</t>
  </si>
  <si>
    <t>Ville LANG</t>
  </si>
  <si>
    <t>19-21 21-16 21-11</t>
  </si>
  <si>
    <t>Simon SANTOSO</t>
  </si>
  <si>
    <t>Scott EVANS</t>
  </si>
  <si>
    <t>21-15 21-12</t>
  </si>
  <si>
    <t>21-12 21-7</t>
  </si>
  <si>
    <t>Joachim PERSSON</t>
  </si>
  <si>
    <t>Sairul Amar AYOB</t>
  </si>
  <si>
    <t>17-21 18-21</t>
  </si>
  <si>
    <t>19-21 19-21</t>
  </si>
  <si>
    <t>Wilson Badminton Swiss Open 07</t>
  </si>
  <si>
    <t>Switzerland</t>
  </si>
  <si>
    <t>21-16 21-11</t>
  </si>
  <si>
    <t>Ajay JAYARAM</t>
  </si>
  <si>
    <t>HSIEH Yu Hsing</t>
  </si>
  <si>
    <t>21-7 21-15</t>
  </si>
  <si>
    <t>21-13 21-14</t>
  </si>
  <si>
    <t>21-6 21-13</t>
  </si>
  <si>
    <t>21-16 21-12</t>
  </si>
  <si>
    <t>19-21 21-12 19-21</t>
  </si>
  <si>
    <t>21-18 21-17</t>
  </si>
  <si>
    <t>15-21 18-21</t>
  </si>
  <si>
    <t>22-20 21-14</t>
  </si>
  <si>
    <t>21-10 21-12</t>
  </si>
  <si>
    <t>21-15 21-14</t>
  </si>
  <si>
    <t>Aviva Open Singapore Super Series 2007</t>
  </si>
  <si>
    <t>Singapore</t>
  </si>
  <si>
    <t>15-21 10-21</t>
  </si>
  <si>
    <t>Alamsyah YUNUS</t>
  </si>
  <si>
    <t>21-19 21-15</t>
  </si>
  <si>
    <t>14-21 15-21</t>
  </si>
  <si>
    <t>21-19 21-17</t>
  </si>
  <si>
    <t>21-16 18-21 20-22</t>
  </si>
  <si>
    <t>21-11 21-19</t>
  </si>
  <si>
    <t>21-14 21-10</t>
  </si>
  <si>
    <t>21-13 21-7</t>
  </si>
  <si>
    <t>21-16 21-18</t>
  </si>
  <si>
    <t>21-17 21-15</t>
  </si>
  <si>
    <t>21-13 21-15</t>
  </si>
  <si>
    <t>21-17 21-14</t>
  </si>
  <si>
    <t>Djarum Indonesia Open Super Series  2007</t>
  </si>
  <si>
    <t>Indonesia</t>
  </si>
  <si>
    <t>Andre Kurniawan TEDJONO</t>
  </si>
  <si>
    <t>21-8 21-18</t>
  </si>
  <si>
    <t>Dionysius Hayom RUMBAKA</t>
  </si>
  <si>
    <t>21-16 21-13</t>
  </si>
  <si>
    <t>18-21 18-21</t>
  </si>
  <si>
    <t>21-19 21-18</t>
  </si>
  <si>
    <t>21-17 14-21 21-15</t>
  </si>
  <si>
    <t>21-9 21-15</t>
  </si>
  <si>
    <t>23-21 21-10</t>
  </si>
  <si>
    <t>China Masters SS  2007</t>
  </si>
  <si>
    <t>China</t>
  </si>
  <si>
    <t>21-17 21-18</t>
  </si>
  <si>
    <t>DU Pengyu</t>
  </si>
  <si>
    <t>QIU Yanbo</t>
  </si>
  <si>
    <t>LU Qicheng</t>
  </si>
  <si>
    <t>21-8 21-10</t>
  </si>
  <si>
    <t>LU Yi</t>
  </si>
  <si>
    <t>21-9 21-18</t>
  </si>
  <si>
    <t>21-12 21-12</t>
  </si>
  <si>
    <t>21-8 21-17</t>
  </si>
  <si>
    <t>21-18 21-14</t>
  </si>
  <si>
    <t>21-11 21-16</t>
  </si>
  <si>
    <t>21-10 21-14</t>
  </si>
  <si>
    <t>22-20 20-22 21-17</t>
  </si>
  <si>
    <t>21-19 21-9</t>
  </si>
  <si>
    <t>YONEX OPEN JAPAN SUPER SERIES 2007</t>
  </si>
  <si>
    <t>Japan</t>
  </si>
  <si>
    <t>Kenichi TAGO</t>
  </si>
  <si>
    <t>Takuma UEDA</t>
  </si>
  <si>
    <t>Sho SASAKI</t>
  </si>
  <si>
    <t>22-20 21-8</t>
  </si>
  <si>
    <t>21-15 21-15</t>
  </si>
  <si>
    <t>21-11 21-9</t>
  </si>
  <si>
    <t>19-21 21-8 21-10</t>
  </si>
  <si>
    <t>21-16 21-14</t>
  </si>
  <si>
    <t>21-17 21-19</t>
  </si>
  <si>
    <t>21-7 21-16</t>
  </si>
  <si>
    <t>22-20 19-21 21-19</t>
  </si>
  <si>
    <t>Christian LIND THOMSEN</t>
  </si>
  <si>
    <t>21-12 21-8</t>
  </si>
  <si>
    <t>21-18 21-8</t>
  </si>
  <si>
    <t>Jan O JORGENSEN</t>
  </si>
  <si>
    <t>21-11 21-13</t>
  </si>
  <si>
    <t>21-18 21-13</t>
  </si>
  <si>
    <t>21-18 21-11</t>
  </si>
  <si>
    <t>21-14 21-12</t>
  </si>
  <si>
    <t>France</t>
  </si>
  <si>
    <t>Brice LEVERDEZ</t>
  </si>
  <si>
    <t>21-10 21-18</t>
  </si>
  <si>
    <t>19-21 12-21</t>
  </si>
  <si>
    <t>Marc ZWIEBLER</t>
  </si>
  <si>
    <t>21-14 21-9</t>
  </si>
  <si>
    <t>21-12 21-16</t>
  </si>
  <si>
    <t>21-13 21-13</t>
  </si>
  <si>
    <t>21-10 21-11</t>
  </si>
  <si>
    <t>22-24 19-21</t>
  </si>
  <si>
    <t>21-17 21-12</t>
  </si>
  <si>
    <t>ZHU Weilun</t>
  </si>
  <si>
    <t>MOU Chi Keong</t>
  </si>
  <si>
    <t>CHAN Io Chong</t>
  </si>
  <si>
    <t>ZHOU Wenlong</t>
  </si>
  <si>
    <t>WONG Wing Ki Vincent</t>
  </si>
  <si>
    <t>19-21 14-21</t>
  </si>
  <si>
    <t>21-9 21-13</t>
  </si>
  <si>
    <t>21-12 21-13</t>
  </si>
  <si>
    <t>21-13 21-5</t>
  </si>
  <si>
    <t>21-15 21-9</t>
  </si>
  <si>
    <t>21-9 21-7</t>
  </si>
  <si>
    <t>18-21 9-21</t>
  </si>
  <si>
    <t>21-15 21-17</t>
  </si>
  <si>
    <t>21-15 21-11</t>
  </si>
  <si>
    <t>21-19</t>
  </si>
  <si>
    <t>21-12 21-19</t>
  </si>
  <si>
    <t>21-17 21-13</t>
  </si>
  <si>
    <t>21-8 21-6</t>
  </si>
  <si>
    <t>21-12 21-5</t>
  </si>
  <si>
    <t>PROTON MALAYSIA OPEN SUPER SERIES 2008</t>
  </si>
  <si>
    <t>Arvind BHAT</t>
  </si>
  <si>
    <t>21-15 21-13</t>
  </si>
  <si>
    <t>21-10 22-20</t>
  </si>
  <si>
    <t>21-12 21-17</t>
  </si>
  <si>
    <t>21-5 15-21 21-8</t>
  </si>
  <si>
    <t>21-13 21-9</t>
  </si>
  <si>
    <t>25-23 21-11</t>
  </si>
  <si>
    <t>21-15 11-21 21-17</t>
  </si>
  <si>
    <t>21-13 28-26</t>
  </si>
  <si>
    <t>21-5 21-7</t>
  </si>
  <si>
    <t>Pablo ABIAN</t>
  </si>
  <si>
    <t>23-21 21-17</t>
  </si>
  <si>
    <t>16-21 14-21</t>
  </si>
  <si>
    <t>21-9 21-12</t>
  </si>
  <si>
    <t>21-17 21-11</t>
  </si>
  <si>
    <t>21-18 21-18</t>
  </si>
  <si>
    <t>21-12 21-18</t>
  </si>
  <si>
    <t>21-13 21-18</t>
  </si>
  <si>
    <t>21-13</t>
  </si>
  <si>
    <t>21-19 21-19</t>
  </si>
  <si>
    <t>21-19 21-14</t>
  </si>
  <si>
    <t>21-18 21-19</t>
  </si>
  <si>
    <t>AVIVA SINGAPORE SUPER SERIES 2008</t>
  </si>
  <si>
    <t>Robin GONANSA</t>
  </si>
  <si>
    <t>21-11 21-18</t>
  </si>
  <si>
    <t>Zi Liang Derek WONG</t>
  </si>
  <si>
    <t>21-11 21-14</t>
  </si>
  <si>
    <t>21-9 21-9</t>
  </si>
  <si>
    <t>21-7 21-13</t>
  </si>
  <si>
    <t>21-11 20-22 21-8</t>
  </si>
  <si>
    <t>17-21 21-5 21-9</t>
  </si>
  <si>
    <t>21-17 22-20</t>
  </si>
  <si>
    <t>18-21 19-21</t>
  </si>
  <si>
    <t>21-15 22-20</t>
  </si>
  <si>
    <t>Grand Prix Gold</t>
  </si>
  <si>
    <t>HU Yun</t>
  </si>
  <si>
    <t>GURUSAIDUTT R. M. V.</t>
  </si>
  <si>
    <t>R64</t>
  </si>
  <si>
    <t>HSUEH Hsuan Yi</t>
  </si>
  <si>
    <t>HSU Jen Hao</t>
  </si>
  <si>
    <t>SHIH Kuei Chun</t>
  </si>
  <si>
    <t>CHOU Tien Chen</t>
  </si>
  <si>
    <t>Tanongsak SAENSOMBOONSUK</t>
  </si>
  <si>
    <t>21-16 21-9</t>
  </si>
  <si>
    <t>Grand Prix</t>
  </si>
  <si>
    <t>21-13 21-11</t>
  </si>
  <si>
    <t>Alistair CASEY</t>
  </si>
  <si>
    <t>21-5 21-9</t>
  </si>
  <si>
    <t>21-8 21-13</t>
  </si>
  <si>
    <t>Kevin CORDON</t>
  </si>
  <si>
    <t>21-11 21-8</t>
  </si>
  <si>
    <t>Michael FOWKE</t>
  </si>
  <si>
    <t>21-11 21-7</t>
  </si>
  <si>
    <t>21-9 21-6</t>
  </si>
  <si>
    <t>21-19 21-8</t>
  </si>
  <si>
    <t>21-18 21-12</t>
  </si>
  <si>
    <t>Yonex Japan Super Series 2008</t>
  </si>
  <si>
    <t>21-10 21-10</t>
  </si>
  <si>
    <t>Jun TAKEMURA</t>
  </si>
  <si>
    <t>Kazushi YAMADA</t>
  </si>
  <si>
    <t>25-23 21-8</t>
  </si>
  <si>
    <t>21-11 21-17</t>
  </si>
  <si>
    <t>21-12 21-10</t>
  </si>
  <si>
    <t>21-7 22-20</t>
  </si>
  <si>
    <t>21-17 21-17</t>
  </si>
  <si>
    <t>21-6 21-4</t>
  </si>
  <si>
    <t>17-21 11-21</t>
  </si>
  <si>
    <t>21-9 21-8</t>
  </si>
  <si>
    <t>CHEN Long</t>
  </si>
  <si>
    <t>21-10 21-15</t>
  </si>
  <si>
    <t>Sourabh VERMA</t>
  </si>
  <si>
    <t>21-17 21-9</t>
  </si>
  <si>
    <t>MACAU GRAND PRIX GOLD 2008</t>
  </si>
  <si>
    <t>21-2 21-3</t>
  </si>
  <si>
    <t>LIU Chih Lun</t>
  </si>
  <si>
    <t>Iskandar ZULKARNAIN</t>
  </si>
  <si>
    <t>21-6 21-8</t>
  </si>
  <si>
    <t>Dieter DOMKE</t>
  </si>
  <si>
    <t>21-7 21-7</t>
  </si>
  <si>
    <t>21-15 21-7</t>
  </si>
  <si>
    <t>21-8 21-12</t>
  </si>
  <si>
    <t>21-11 21-12</t>
  </si>
  <si>
    <t>21-4 21-14</t>
  </si>
  <si>
    <t>21-8 21-16</t>
  </si>
  <si>
    <t>21-16 21-16</t>
  </si>
  <si>
    <t>14-21 21-19 21-15</t>
  </si>
  <si>
    <t>FRENCH SUPER SERIES 2008</t>
  </si>
  <si>
    <t>21-14 21-3</t>
  </si>
  <si>
    <t>21-12 21-15</t>
  </si>
  <si>
    <t>21-16 14-21 12-21</t>
  </si>
  <si>
    <t>21-7 21-17</t>
  </si>
  <si>
    <t>21-9 21-10</t>
  </si>
  <si>
    <t>21-6 21-9</t>
  </si>
  <si>
    <t>21-9 21-11</t>
  </si>
  <si>
    <t>LI NING CHINA OPEN SUPER SERIES 08</t>
  </si>
  <si>
    <t>8-21 21-14 21-16</t>
  </si>
  <si>
    <t>21-19 19-21 21-10</t>
  </si>
  <si>
    <t>17-21 21-8 21-7</t>
  </si>
  <si>
    <t>21-13 21-16</t>
  </si>
  <si>
    <t>21-15 21-19</t>
  </si>
  <si>
    <t>World Super Series Masters Finals 2008</t>
  </si>
  <si>
    <t>World Superseries Premier</t>
  </si>
  <si>
    <t>R1</t>
  </si>
  <si>
    <t>R2</t>
  </si>
  <si>
    <t>R3</t>
  </si>
  <si>
    <t>21-13 20-22 21-8</t>
  </si>
  <si>
    <t>21-5 21-10</t>
  </si>
  <si>
    <t>MALAYSIA SUPER SERIES 2009</t>
  </si>
  <si>
    <t>21-9 18-21 21-7</t>
  </si>
  <si>
    <t>21-7 21-8</t>
  </si>
  <si>
    <t>21-15 16-21 21-11</t>
  </si>
  <si>
    <t>24-26 21-17 21-13</t>
  </si>
  <si>
    <t>YONEX KOREA SUPER SERIES 2009</t>
  </si>
  <si>
    <t>LEE Dong Keun</t>
  </si>
  <si>
    <t>21-11 17-21 21-15</t>
  </si>
  <si>
    <t>18-21 21-7 21-16</t>
  </si>
  <si>
    <t>18-21 21-10 17-21</t>
  </si>
  <si>
    <t>21-15 21-8</t>
  </si>
  <si>
    <t>21-11 21-6</t>
  </si>
  <si>
    <t>Yonex All England Open Super Series 2009</t>
  </si>
  <si>
    <t>22-20 21-15</t>
  </si>
  <si>
    <t>WILSON SWISS SUPER SERIES 2009</t>
  </si>
  <si>
    <t>21-8 21-15</t>
  </si>
  <si>
    <t>21-23 21-12 21-19</t>
  </si>
  <si>
    <t>21-12 20-22 21-9</t>
  </si>
  <si>
    <t>Yonex Sunrise India Open 2009</t>
  </si>
  <si>
    <t>Hyderabad, India</t>
  </si>
  <si>
    <t>21-7 16-21 18-21</t>
  </si>
  <si>
    <t>22-20 21-12</t>
  </si>
  <si>
    <t>21-12 21-11</t>
  </si>
  <si>
    <t>K. Ajay Kumar</t>
  </si>
  <si>
    <t>SAI PRANEETH B.</t>
  </si>
  <si>
    <t>21-9 21-19</t>
  </si>
  <si>
    <t>AVIVA SINGAPORE SUPER SERIES 2009</t>
  </si>
  <si>
    <t>Singapore, Singapore</t>
  </si>
  <si>
    <t>22-24 22-20 19-21</t>
  </si>
  <si>
    <t>DJARUM INDONESIA SUPER SERIES 2009</t>
  </si>
  <si>
    <t>Jakarta, Indonesia</t>
  </si>
  <si>
    <t>21-7 21-10</t>
  </si>
  <si>
    <t>21-13 22-20</t>
  </si>
  <si>
    <t>21-7 19-21 21-7</t>
  </si>
  <si>
    <t>YONEX SUNRISE MALAYSIA OPEN GRAND PRIX GOLD 2009</t>
  </si>
  <si>
    <t>JOHOR BAHRU, Malaysia</t>
  </si>
  <si>
    <t>GAO Huan</t>
  </si>
  <si>
    <t>Jiann Shiarng CHIANG</t>
  </si>
  <si>
    <t>Fang Yang LIM</t>
  </si>
  <si>
    <t>21-18 21-4</t>
  </si>
  <si>
    <t>21-6 21-12</t>
  </si>
  <si>
    <t>21-10 21-5</t>
  </si>
  <si>
    <t>21-10 21-7</t>
  </si>
  <si>
    <t>21-17 19-21 21-14</t>
  </si>
  <si>
    <t>MACAU GRAND PRIX GOLD 2009</t>
  </si>
  <si>
    <t>Macau, Macau China</t>
  </si>
  <si>
    <t>WANG Zhengming</t>
  </si>
  <si>
    <t>NG Ka Long Angus</t>
  </si>
  <si>
    <t>21-18 22-20</t>
  </si>
  <si>
    <t>LI NING CHINA MASTERS SUPER SERIES 2009</t>
  </si>
  <si>
    <t>Changzhou, China</t>
  </si>
  <si>
    <t>TIAN Houwei</t>
  </si>
  <si>
    <t>Yuekun  CHEN</t>
  </si>
  <si>
    <t>QIAO Bin</t>
  </si>
  <si>
    <t>20-22 21-15 7-21</t>
  </si>
  <si>
    <t>YONEX OPEN JAPAN SUPER SERIES 2009</t>
  </si>
  <si>
    <t>Tokyo, Japan</t>
  </si>
  <si>
    <t>21-16 21-8</t>
  </si>
  <si>
    <t>21-19 15-21 19-21</t>
  </si>
  <si>
    <t>21-15 18-21 21-17</t>
  </si>
  <si>
    <t>21-8 21-19</t>
  </si>
  <si>
    <t>21-7 21-11</t>
  </si>
  <si>
    <t>Paris, France</t>
  </si>
  <si>
    <t>YONEX SUNRISE HONG KONG OPEN SUPER SERIES 2009</t>
  </si>
  <si>
    <t>Hong Kong, Hong Kong China</t>
  </si>
  <si>
    <t>10-21 21-15 24-22</t>
  </si>
  <si>
    <t>21-13 13-21 21-16</t>
  </si>
  <si>
    <t>CHINA SUPER SERIES 2009</t>
  </si>
  <si>
    <t>Shanghai, China</t>
  </si>
  <si>
    <t>6-21 21-13 17-21</t>
  </si>
  <si>
    <t>YONEX-SUNRISE BWF WORLD SUPER SERIES MASTERS FINALS 2009</t>
  </si>
  <si>
    <t>PRANNOY H. S.</t>
  </si>
  <si>
    <t>KOREA SUPER SERIES 2010</t>
  </si>
  <si>
    <t>Seoul, Korea</t>
  </si>
  <si>
    <t>PROTON MALAYSIA OPEN SUPER SERIES 2010</t>
  </si>
  <si>
    <t>Bukit Jalil, Malaysia</t>
  </si>
  <si>
    <t>21-14 21-4</t>
  </si>
  <si>
    <t>21-8 21-11</t>
  </si>
  <si>
    <t>21-23 21-17 21-14</t>
  </si>
  <si>
    <t>21-14 16-21 21-15</t>
  </si>
  <si>
    <t>21-11 21-15</t>
  </si>
  <si>
    <t>ALL ENGLAND SUPER SERIES 2010</t>
  </si>
  <si>
    <t>Birmingham, England</t>
  </si>
  <si>
    <t>21-8 21-14</t>
  </si>
  <si>
    <t>21-17 16-21 12-21</t>
  </si>
  <si>
    <t>14-21 21-14 21-14</t>
  </si>
  <si>
    <t>New Delhi, India</t>
  </si>
  <si>
    <t>LI-NING SINGAPORE OPEN SUPER SERIES 2010</t>
  </si>
  <si>
    <t>21-11 15-21 21-19</t>
  </si>
  <si>
    <t>21-9 15-21 21-15</t>
  </si>
  <si>
    <t>21-13 19-21 21-16</t>
  </si>
  <si>
    <t>21-7 19-21 15-21</t>
  </si>
  <si>
    <t>DJARUM INDONESIA OPEN SUPER SERIES 2010</t>
  </si>
  <si>
    <t>21-18</t>
  </si>
  <si>
    <t>21-12 8-21 21-12</t>
  </si>
  <si>
    <t>YONEX-SUNRISE MALAYSIA OPEN GRAND PRIX GOLD 2010</t>
  </si>
  <si>
    <t>Johor Bharu, Malaysia</t>
  </si>
  <si>
    <t>WEI Nan</t>
  </si>
  <si>
    <t>Arak BHOKANANDH</t>
  </si>
  <si>
    <t>Prasojo Adi ANDRIANUS</t>
  </si>
  <si>
    <t>21-8 14-21 21-15</t>
  </si>
  <si>
    <t>Kumpoo Macau Open Badminton Championships</t>
  </si>
  <si>
    <t>Taipa, Macau China</t>
  </si>
  <si>
    <t>23-21 21-18</t>
  </si>
  <si>
    <t>21-12 18-21 21-12</t>
  </si>
  <si>
    <t>24-22 21-14</t>
  </si>
  <si>
    <t>Viktor AXELSEN</t>
  </si>
  <si>
    <t>JAPAN SUPER SERIES 2010</t>
  </si>
  <si>
    <t>TOKYO, Japan</t>
  </si>
  <si>
    <t>22-20 16-21 21-17</t>
  </si>
  <si>
    <t>Odense, Denmark</t>
  </si>
  <si>
    <t>17-21 21-14 21-16</t>
  </si>
  <si>
    <t>23-21 24-22</t>
  </si>
  <si>
    <t>Kento MOMOTA</t>
  </si>
  <si>
    <t>17-21</t>
  </si>
  <si>
    <t>YONEX-SUNRISE Hong Kong Open Super Series 2010</t>
  </si>
  <si>
    <t>KIDAMBI Srikanth</t>
  </si>
  <si>
    <t>19-21</t>
  </si>
  <si>
    <t>VICTOR- BWF Superseries Finals 2010</t>
  </si>
  <si>
    <t>PROTON Malaysia Open</t>
  </si>
  <si>
    <t>Kuala Lumpur, Malaysia</t>
  </si>
  <si>
    <t>VICTOR Korea Open 2011</t>
  </si>
  <si>
    <t>21-9 18-21 21-16</t>
  </si>
  <si>
    <t>19-21 21-14 16-21</t>
  </si>
  <si>
    <t>YONEX  All England Open</t>
  </si>
  <si>
    <t>YONEX-SUNRISE  India Open</t>
  </si>
  <si>
    <t>21-12 12-21 21-15</t>
  </si>
  <si>
    <t>YONEX-SUNRISE Malaysia Open Grand Prix Gold 2011</t>
  </si>
  <si>
    <t>Alor Setar, Malaysia</t>
  </si>
  <si>
    <t>21-12 21-9</t>
  </si>
  <si>
    <t>Kazumasa SAKAI</t>
  </si>
  <si>
    <t>DJARUM Indonesia Open 2011</t>
  </si>
  <si>
    <t>YONEX BWF World Championships 2011</t>
  </si>
  <si>
    <t>Grade 1 â€“ Individual Tournaments</t>
  </si>
  <si>
    <t>London, England</t>
  </si>
  <si>
    <t>21-19 12-21 11-21</t>
  </si>
  <si>
    <t>22-20 14-21 21-23</t>
  </si>
  <si>
    <t>WANG Tzu Wei</t>
  </si>
  <si>
    <t>YONEX Open Japan</t>
  </si>
  <si>
    <t>21-23 21-7 21-18</t>
  </si>
  <si>
    <t>8-21 21-10 19-21</t>
  </si>
  <si>
    <t>Yonex Denmark Open 2011</t>
  </si>
  <si>
    <t>21-16 21-5</t>
  </si>
  <si>
    <t>Yonex Badminton French Open 2011</t>
  </si>
  <si>
    <t>13-21</t>
  </si>
  <si>
    <t>23-21 17-21 21-15</t>
  </si>
  <si>
    <t>Yonex Sunrise Hong Kong Open 2011</t>
  </si>
  <si>
    <t>Kowloon, Hong Kong China</t>
  </si>
  <si>
    <t>Li Ning  China Open 2011</t>
  </si>
  <si>
    <t>HEO Kwang Hee</t>
  </si>
  <si>
    <t>Li Ning BWF World Superseries Finals 2011</t>
  </si>
  <si>
    <t>21-11 18-21 21-12</t>
  </si>
  <si>
    <t>16-21 21-16 18-21</t>
  </si>
  <si>
    <t>Victor Korea  Open  2012</t>
  </si>
  <si>
    <t>Seoul,, Korea</t>
  </si>
  <si>
    <t>13-21 21-14 21-15</t>
  </si>
  <si>
    <t>12-21 21-18 21-14</t>
  </si>
  <si>
    <t>MAYBANK Malaysia Open Presented by PROTON</t>
  </si>
  <si>
    <t>Kuala Lumpur , Malaysia</t>
  </si>
  <si>
    <t>21-18 17-21 21-13</t>
  </si>
  <si>
    <t>15-21 21-12 21-19</t>
  </si>
  <si>
    <t>YONEX All England Open Badminton Championships  2012</t>
  </si>
  <si>
    <t>19-21 2-6</t>
  </si>
  <si>
    <t>Yonex Sunrise India Open 2012</t>
  </si>
  <si>
    <t>21-16 15-21 21-5</t>
  </si>
  <si>
    <t>18-21 21-14 19-21</t>
  </si>
  <si>
    <t>YONEX-SUNRISE Malaysia Open GP Gold 2012</t>
  </si>
  <si>
    <t>Johor Bahru, Malaysia</t>
  </si>
  <si>
    <t>21-18 15-21 21-8</t>
  </si>
  <si>
    <t>17-21 21-8 21-10</t>
  </si>
  <si>
    <t>19-21 21-17 18-21</t>
  </si>
  <si>
    <t>21-17 23-21</t>
  </si>
  <si>
    <t>17-21 21-11 19-21</t>
  </si>
  <si>
    <t>YONEX Open Japan 2012</t>
  </si>
  <si>
    <t>Fikri Ihsandi HADMADI</t>
  </si>
  <si>
    <t>GUO Kai</t>
  </si>
  <si>
    <t>YONEX Denmark Open 2012</t>
  </si>
  <si>
    <t>Yonex Sunrise Hong Kong Open 2012</t>
  </si>
  <si>
    <t>Hong Kong , Hong Kong China</t>
  </si>
  <si>
    <t>BWF Superseries Finals 2012</t>
  </si>
  <si>
    <t>Shenzhen, China</t>
  </si>
  <si>
    <t>21-12 16-21 20-22</t>
  </si>
  <si>
    <t>VICTOR Korea Open 2013</t>
  </si>
  <si>
    <t>MAYBANK Malaysia Open 2013</t>
  </si>
  <si>
    <t>21-13 17-21 21-12</t>
  </si>
  <si>
    <t>Yonex All England Open Badminton Championships 2013</t>
  </si>
  <si>
    <t>13-21 21-6 23-21</t>
  </si>
  <si>
    <t>Yonex Australian Badminton Open 2013</t>
  </si>
  <si>
    <t>Sydney, Australia</t>
  </si>
  <si>
    <t>21-10 18-21 21-15</t>
  </si>
  <si>
    <t>Yonex Sunrise India Open 2013</t>
  </si>
  <si>
    <t>21-11 18-21 21-8</t>
  </si>
  <si>
    <t>JEON Hyeok Jin</t>
  </si>
  <si>
    <t>21-14</t>
  </si>
  <si>
    <t>Djarum  Indonesia Open 2013</t>
  </si>
  <si>
    <t>Jakarta</t>
  </si>
  <si>
    <t>20-22 21-4 22-20</t>
  </si>
  <si>
    <t>Yonex Open  Japan 2013</t>
  </si>
  <si>
    <t>Kenta NISHIMOTO</t>
  </si>
  <si>
    <t>13-21 21-10 21-18</t>
  </si>
  <si>
    <t>Yonex Denmark Open 2013</t>
  </si>
  <si>
    <t>Odense V</t>
  </si>
  <si>
    <t>8-21 21-18 21-5</t>
  </si>
  <si>
    <t>20-22 21-6 21-15</t>
  </si>
  <si>
    <t>Yonex French Open 2013</t>
  </si>
  <si>
    <t>SHI Yu Qi</t>
  </si>
  <si>
    <t>Yonex  Sunrise Hong Kong Open 2013</t>
  </si>
  <si>
    <t>BWF World Superseries Finals 2013</t>
  </si>
  <si>
    <t>Kuala lumpur</t>
  </si>
  <si>
    <t>Victor Korea Open</t>
  </si>
  <si>
    <t xml:space="preserve"> Seoul,, Korea</t>
  </si>
  <si>
    <t>Maybank Malaysia Open</t>
  </si>
  <si>
    <t xml:space="preserve"> Kuala Lumpur, Malaysia</t>
  </si>
  <si>
    <t>16-21</t>
  </si>
  <si>
    <t>21-13 3-0</t>
  </si>
  <si>
    <t>Yonex All England Open</t>
  </si>
  <si>
    <t>Yonex- Sunrise India Open</t>
  </si>
  <si>
    <t>OUE Singapore Open</t>
  </si>
  <si>
    <t>Yonex Japan Open</t>
  </si>
  <si>
    <t>21-15 12-21 21-17</t>
  </si>
  <si>
    <t>BCA Indonesian Open</t>
  </si>
  <si>
    <t>21-4 21-16</t>
  </si>
  <si>
    <t>16-21 21-15 16-21</t>
  </si>
  <si>
    <t>Kantaphon WANGCHAROEN</t>
  </si>
  <si>
    <t>Li Ning BWF World Championships 2014</t>
  </si>
  <si>
    <t>Copenhagen , Denmark</t>
  </si>
  <si>
    <t>Yonex Denmark Open</t>
  </si>
  <si>
    <t>Yonex French Open</t>
  </si>
  <si>
    <t>21-23</t>
  </si>
  <si>
    <t>Fuzhou, China</t>
  </si>
  <si>
    <t>22-20</t>
  </si>
  <si>
    <t>17-21 22-20 19-21</t>
  </si>
  <si>
    <t>21-17</t>
  </si>
  <si>
    <t>Kantawat LEELAVECHABUTR</t>
  </si>
  <si>
    <t>BCA Indonesia Open</t>
  </si>
  <si>
    <t>Yonex Suffolk County Community College US Open</t>
  </si>
  <si>
    <t>Brentwood, USA</t>
  </si>
  <si>
    <t>Yonex Canada Open</t>
  </si>
  <si>
    <t>Calgary, Canada</t>
  </si>
  <si>
    <t>21-17 20-22 21-10</t>
  </si>
  <si>
    <t>21-13 18-21 21-11</t>
  </si>
  <si>
    <t>16-21 21-10 21-12</t>
  </si>
  <si>
    <t>Yonex Open Japan</t>
  </si>
  <si>
    <t>21-3 21-3</t>
  </si>
  <si>
    <t>Thaihot China Open</t>
  </si>
  <si>
    <t>21-9 15-21 21-12</t>
  </si>
  <si>
    <t>21-11 11-21 21-10</t>
  </si>
  <si>
    <t>YONEX-SUNRISE Hong Kong Open</t>
  </si>
  <si>
    <t>Dubai, United Arab Emirates</t>
  </si>
  <si>
    <t>Victor Far East Malaysia Masters</t>
  </si>
  <si>
    <t>Penang, Malaysia</t>
  </si>
  <si>
    <t>YONEX All England Open</t>
  </si>
  <si>
    <t>YONEX SUNRISE India Open</t>
  </si>
  <si>
    <t>CELCOM AXIATA Malaysia Open</t>
  </si>
  <si>
    <t>Rio 2016 Olympic Games</t>
  </si>
  <si>
    <t>Rio, Brazil</t>
  </si>
  <si>
    <t>Soren OPTI</t>
  </si>
  <si>
    <t>15-21 21-11 22-20</t>
  </si>
  <si>
    <t>21-16</t>
  </si>
  <si>
    <t>21-18 15-21 21-16</t>
  </si>
  <si>
    <t>14-21</t>
  </si>
  <si>
    <t>YONEX Denmark Open</t>
  </si>
  <si>
    <t>16-21 21-19 21-11</t>
  </si>
  <si>
    <t>YONEX French Open</t>
  </si>
  <si>
    <t>10-21 21-14 21-9</t>
  </si>
  <si>
    <t>Kuching, Malaysia</t>
  </si>
  <si>
    <t>DAIHATSU YONEX Japan Open</t>
  </si>
  <si>
    <t>DANISA Denmark Open</t>
  </si>
  <si>
    <t>TAHOE China Open</t>
  </si>
  <si>
    <t>Dubai World Superseries Finals 2017</t>
  </si>
  <si>
    <t>HSBC BWF World Tour Super 1000</t>
  </si>
  <si>
    <t>CELCOM AXIATA Malaysia Open 2018</t>
  </si>
  <si>
    <t>HSBC BWF World Tour Super 750</t>
  </si>
  <si>
    <t>BLIBLI Indonesia Open 2018</t>
  </si>
  <si>
    <t>15-21</t>
  </si>
  <si>
    <t>DATE</t>
  </si>
  <si>
    <t>Discipline</t>
  </si>
  <si>
    <t>Tournament</t>
  </si>
  <si>
    <t>Tier</t>
  </si>
  <si>
    <t>Round</t>
  </si>
  <si>
    <t xml:space="preserve">Host_Location </t>
  </si>
  <si>
    <t>Player</t>
  </si>
  <si>
    <t xml:space="preserve">Opponent </t>
  </si>
  <si>
    <t xml:space="preserve">Winner </t>
  </si>
  <si>
    <t>Score</t>
  </si>
  <si>
    <t>Date</t>
  </si>
  <si>
    <t>Match_Id</t>
  </si>
  <si>
    <t>LCW001</t>
  </si>
  <si>
    <t>LCW002</t>
  </si>
  <si>
    <t>LCW003</t>
  </si>
  <si>
    <t>LCW005</t>
  </si>
  <si>
    <t>LCW006</t>
  </si>
  <si>
    <t>LCW007</t>
  </si>
  <si>
    <t>LCW008</t>
  </si>
  <si>
    <t>LCW009</t>
  </si>
  <si>
    <t>LCW004</t>
  </si>
  <si>
    <t>LCW010</t>
  </si>
  <si>
    <t>LCW011</t>
  </si>
  <si>
    <t>LCW012</t>
  </si>
  <si>
    <t>LCW013</t>
  </si>
  <si>
    <t>LCW014</t>
  </si>
  <si>
    <t>LCW015</t>
  </si>
  <si>
    <t>LCW016</t>
  </si>
  <si>
    <t>LCW017</t>
  </si>
  <si>
    <t>LCW018</t>
  </si>
  <si>
    <t>LCW019</t>
  </si>
  <si>
    <t>LCW020</t>
  </si>
  <si>
    <t>LCW021</t>
  </si>
  <si>
    <t>LCW022</t>
  </si>
  <si>
    <t>LCW023</t>
  </si>
  <si>
    <t>LCW024</t>
  </si>
  <si>
    <t>LCW025</t>
  </si>
  <si>
    <t>LCW026</t>
  </si>
  <si>
    <t>LCW027</t>
  </si>
  <si>
    <t>LCW028</t>
  </si>
  <si>
    <t>LCW029</t>
  </si>
  <si>
    <t>LCW030</t>
  </si>
  <si>
    <t>LCW031</t>
  </si>
  <si>
    <t>LCW032</t>
  </si>
  <si>
    <t>LCW033</t>
  </si>
  <si>
    <t>LCW034</t>
  </si>
  <si>
    <t>LCW035</t>
  </si>
  <si>
    <t>LCW036</t>
  </si>
  <si>
    <t>LCW037</t>
  </si>
  <si>
    <t>LCW038</t>
  </si>
  <si>
    <t>LCW039</t>
  </si>
  <si>
    <t>LCW040</t>
  </si>
  <si>
    <t>LCW041</t>
  </si>
  <si>
    <t>LCW042</t>
  </si>
  <si>
    <t>LCW043</t>
  </si>
  <si>
    <t>LCW044</t>
  </si>
  <si>
    <t>LCW045</t>
  </si>
  <si>
    <t>LCW046</t>
  </si>
  <si>
    <t>LCW047</t>
  </si>
  <si>
    <t>LCW048</t>
  </si>
  <si>
    <t>LCW049</t>
  </si>
  <si>
    <t>LCW050</t>
  </si>
  <si>
    <t>LCW051</t>
  </si>
  <si>
    <t>LCW052</t>
  </si>
  <si>
    <t>LCW053</t>
  </si>
  <si>
    <t>LCW054</t>
  </si>
  <si>
    <t>LCW055</t>
  </si>
  <si>
    <t>LCW056</t>
  </si>
  <si>
    <t>LCW057</t>
  </si>
  <si>
    <t>LCW058</t>
  </si>
  <si>
    <t>LCW059</t>
  </si>
  <si>
    <t>LCW060</t>
  </si>
  <si>
    <t>LCW061</t>
  </si>
  <si>
    <t>LCW062</t>
  </si>
  <si>
    <t>LCW063</t>
  </si>
  <si>
    <t>LCW064</t>
  </si>
  <si>
    <t>LCW065</t>
  </si>
  <si>
    <t>LCW066</t>
  </si>
  <si>
    <t>LCW067</t>
  </si>
  <si>
    <t>LCW068</t>
  </si>
  <si>
    <t>LCW069</t>
  </si>
  <si>
    <t>LCW070</t>
  </si>
  <si>
    <t>LCW071</t>
  </si>
  <si>
    <t>LCW072</t>
  </si>
  <si>
    <t>LCW073</t>
  </si>
  <si>
    <t>LCW074</t>
  </si>
  <si>
    <t>LCW075</t>
  </si>
  <si>
    <t>LCW076</t>
  </si>
  <si>
    <t>LCW077</t>
  </si>
  <si>
    <t>LCW078</t>
  </si>
  <si>
    <t>LCW079</t>
  </si>
  <si>
    <t>LCW080</t>
  </si>
  <si>
    <t>LCW081</t>
  </si>
  <si>
    <t>LCW082</t>
  </si>
  <si>
    <t>LCW083</t>
  </si>
  <si>
    <t>LCW084</t>
  </si>
  <si>
    <t>LCW085</t>
  </si>
  <si>
    <t>LCW086</t>
  </si>
  <si>
    <t>LCW087</t>
  </si>
  <si>
    <t>LCW088</t>
  </si>
  <si>
    <t>LCW089</t>
  </si>
  <si>
    <t>LCW090</t>
  </si>
  <si>
    <t>LCW091</t>
  </si>
  <si>
    <t>LCW092</t>
  </si>
  <si>
    <t>LCW093</t>
  </si>
  <si>
    <t>LCW094</t>
  </si>
  <si>
    <t>LCW095</t>
  </si>
  <si>
    <t>LCW096</t>
  </si>
  <si>
    <t>LCW097</t>
  </si>
  <si>
    <t>LCW098</t>
  </si>
  <si>
    <t>LCW099</t>
  </si>
  <si>
    <t>LCW100</t>
  </si>
  <si>
    <t>LCW101</t>
  </si>
  <si>
    <t>LCW102</t>
  </si>
  <si>
    <t>LCW103</t>
  </si>
  <si>
    <t>LCW104</t>
  </si>
  <si>
    <t>LCW105</t>
  </si>
  <si>
    <t>LCW106</t>
  </si>
  <si>
    <t>LCW107</t>
  </si>
  <si>
    <t>LCW108</t>
  </si>
  <si>
    <t>LCW109</t>
  </si>
  <si>
    <t>LCW110</t>
  </si>
  <si>
    <t>LCW111</t>
  </si>
  <si>
    <t>LCW112</t>
  </si>
  <si>
    <t>LCW113</t>
  </si>
  <si>
    <t>LCW114</t>
  </si>
  <si>
    <t>LCW115</t>
  </si>
  <si>
    <t>LCW116</t>
  </si>
  <si>
    <t>LCW117</t>
  </si>
  <si>
    <t>LCW118</t>
  </si>
  <si>
    <t>LCW119</t>
  </si>
  <si>
    <t>LCW120</t>
  </si>
  <si>
    <t>LCW121</t>
  </si>
  <si>
    <t>LCW122</t>
  </si>
  <si>
    <t>LCW123</t>
  </si>
  <si>
    <t>LCW124</t>
  </si>
  <si>
    <t>LCW125</t>
  </si>
  <si>
    <t>LCW126</t>
  </si>
  <si>
    <t>LCW127</t>
  </si>
  <si>
    <t>LCW128</t>
  </si>
  <si>
    <t>LCW129</t>
  </si>
  <si>
    <t>LCW130</t>
  </si>
  <si>
    <t>LCW131</t>
  </si>
  <si>
    <t>LCW132</t>
  </si>
  <si>
    <t>LCW133</t>
  </si>
  <si>
    <t>LCW134</t>
  </si>
  <si>
    <t>LCW135</t>
  </si>
  <si>
    <t>LCW136</t>
  </si>
  <si>
    <t>LCW137</t>
  </si>
  <si>
    <t>LCW138</t>
  </si>
  <si>
    <t>LCW139</t>
  </si>
  <si>
    <t>LCW140</t>
  </si>
  <si>
    <t>LCW141</t>
  </si>
  <si>
    <t>LCW142</t>
  </si>
  <si>
    <t>LCW143</t>
  </si>
  <si>
    <t>LCW144</t>
  </si>
  <si>
    <t>LCW145</t>
  </si>
  <si>
    <t>LCW146</t>
  </si>
  <si>
    <t>LCW147</t>
  </si>
  <si>
    <t>LCW148</t>
  </si>
  <si>
    <t>LCW149</t>
  </si>
  <si>
    <t>LCW150</t>
  </si>
  <si>
    <t>LCW151</t>
  </si>
  <si>
    <t>LCW152</t>
  </si>
  <si>
    <t>LCW153</t>
  </si>
  <si>
    <t>LCW154</t>
  </si>
  <si>
    <t>LCW155</t>
  </si>
  <si>
    <t>LCW156</t>
  </si>
  <si>
    <t>LCW157</t>
  </si>
  <si>
    <t>LCW158</t>
  </si>
  <si>
    <t>LCW159</t>
  </si>
  <si>
    <t>LCW160</t>
  </si>
  <si>
    <t>LCW161</t>
  </si>
  <si>
    <t>LCW162</t>
  </si>
  <si>
    <t>LCW163</t>
  </si>
  <si>
    <t>LCW164</t>
  </si>
  <si>
    <t>LCW165</t>
  </si>
  <si>
    <t>LCW166</t>
  </si>
  <si>
    <t>LCW167</t>
  </si>
  <si>
    <t>LCW168</t>
  </si>
  <si>
    <t>LCW169</t>
  </si>
  <si>
    <t>LCW170</t>
  </si>
  <si>
    <t>LCW171</t>
  </si>
  <si>
    <t>LCW172</t>
  </si>
  <si>
    <t>LCW173</t>
  </si>
  <si>
    <t>LCW174</t>
  </si>
  <si>
    <t>LCW175</t>
  </si>
  <si>
    <t>LCW176</t>
  </si>
  <si>
    <t>LCW177</t>
  </si>
  <si>
    <t>LCW178</t>
  </si>
  <si>
    <t>LCW179</t>
  </si>
  <si>
    <t>LCW180</t>
  </si>
  <si>
    <t>LCW181</t>
  </si>
  <si>
    <t>LCW182</t>
  </si>
  <si>
    <t>LCW183</t>
  </si>
  <si>
    <t>LCW184</t>
  </si>
  <si>
    <t>LCW185</t>
  </si>
  <si>
    <t>LCW186</t>
  </si>
  <si>
    <t>LCW187</t>
  </si>
  <si>
    <t>LCW188</t>
  </si>
  <si>
    <t>LCW189</t>
  </si>
  <si>
    <t>LCW190</t>
  </si>
  <si>
    <t>LCW191</t>
  </si>
  <si>
    <t>LCW192</t>
  </si>
  <si>
    <t>LCW193</t>
  </si>
  <si>
    <t>LCW194</t>
  </si>
  <si>
    <t>LCW195</t>
  </si>
  <si>
    <t>LCW196</t>
  </si>
  <si>
    <t>LCW197</t>
  </si>
  <si>
    <t>LCW198</t>
  </si>
  <si>
    <t>LCW199</t>
  </si>
  <si>
    <t>LCW200</t>
  </si>
  <si>
    <t>LCW201</t>
  </si>
  <si>
    <t>LCW202</t>
  </si>
  <si>
    <t>LCW203</t>
  </si>
  <si>
    <t>LCW204</t>
  </si>
  <si>
    <t>LCW205</t>
  </si>
  <si>
    <t>LCW206</t>
  </si>
  <si>
    <t>LCW207</t>
  </si>
  <si>
    <t>LCW208</t>
  </si>
  <si>
    <t>LCW209</t>
  </si>
  <si>
    <t>LCW210</t>
  </si>
  <si>
    <t>LCW211</t>
  </si>
  <si>
    <t>LCW212</t>
  </si>
  <si>
    <t>LCW213</t>
  </si>
  <si>
    <t>LCW214</t>
  </si>
  <si>
    <t>LCW215</t>
  </si>
  <si>
    <t>LCW216</t>
  </si>
  <si>
    <t>LCW217</t>
  </si>
  <si>
    <t>LCW218</t>
  </si>
  <si>
    <t>LCW219</t>
  </si>
  <si>
    <t>LCW220</t>
  </si>
  <si>
    <t>LCW221</t>
  </si>
  <si>
    <t>LCW222</t>
  </si>
  <si>
    <t>LCW223</t>
  </si>
  <si>
    <t>LCW224</t>
  </si>
  <si>
    <t>LCW225</t>
  </si>
  <si>
    <t>LCW226</t>
  </si>
  <si>
    <t>LCW227</t>
  </si>
  <si>
    <t>LCW228</t>
  </si>
  <si>
    <t>LCW229</t>
  </si>
  <si>
    <t>LCW230</t>
  </si>
  <si>
    <t>LCW231</t>
  </si>
  <si>
    <t>LCW232</t>
  </si>
  <si>
    <t>LCW233</t>
  </si>
  <si>
    <t>LCW234</t>
  </si>
  <si>
    <t>LCW235</t>
  </si>
  <si>
    <t>LCW236</t>
  </si>
  <si>
    <t>LCW237</t>
  </si>
  <si>
    <t>LCW238</t>
  </si>
  <si>
    <t>LCW239</t>
  </si>
  <si>
    <t>LCW240</t>
  </si>
  <si>
    <t>LCW241</t>
  </si>
  <si>
    <t>LCW242</t>
  </si>
  <si>
    <t>LCW243</t>
  </si>
  <si>
    <t>LCW244</t>
  </si>
  <si>
    <t>LCW245</t>
  </si>
  <si>
    <t>LCW246</t>
  </si>
  <si>
    <t>LCW247</t>
  </si>
  <si>
    <t>LCW248</t>
  </si>
  <si>
    <t>LCW249</t>
  </si>
  <si>
    <t>LCW250</t>
  </si>
  <si>
    <t>LCW251</t>
  </si>
  <si>
    <t>LCW252</t>
  </si>
  <si>
    <t>LCW253</t>
  </si>
  <si>
    <t>LCW254</t>
  </si>
  <si>
    <t>LCW255</t>
  </si>
  <si>
    <t>LCW256</t>
  </si>
  <si>
    <t>LCW257</t>
  </si>
  <si>
    <t>LCW258</t>
  </si>
  <si>
    <t>LCW259</t>
  </si>
  <si>
    <t>LCW260</t>
  </si>
  <si>
    <t>LCW261</t>
  </si>
  <si>
    <t>LCW262</t>
  </si>
  <si>
    <t>LCW263</t>
  </si>
  <si>
    <t>LCW264</t>
  </si>
  <si>
    <t>LCW265</t>
  </si>
  <si>
    <t>LCW266</t>
  </si>
  <si>
    <t>LCW267</t>
  </si>
  <si>
    <t>LCW268</t>
  </si>
  <si>
    <t>LCW269</t>
  </si>
  <si>
    <t>LCW270</t>
  </si>
  <si>
    <t>LCW271</t>
  </si>
  <si>
    <t>LCW272</t>
  </si>
  <si>
    <t>LCW273</t>
  </si>
  <si>
    <t>LCW274</t>
  </si>
  <si>
    <t>LCW275</t>
  </si>
  <si>
    <t>LCW276</t>
  </si>
  <si>
    <t>LCW277</t>
  </si>
  <si>
    <t>LCW278</t>
  </si>
  <si>
    <t>LCW279</t>
  </si>
  <si>
    <t>LCW280</t>
  </si>
  <si>
    <t>LCW281</t>
  </si>
  <si>
    <t>LCW282</t>
  </si>
  <si>
    <t>LCW283</t>
  </si>
  <si>
    <t>LCW284</t>
  </si>
  <si>
    <t>LCW285</t>
  </si>
  <si>
    <t>LCW286</t>
  </si>
  <si>
    <t>LCW287</t>
  </si>
  <si>
    <t>LCW288</t>
  </si>
  <si>
    <t>LCW289</t>
  </si>
  <si>
    <t>LCW290</t>
  </si>
  <si>
    <t>LCW291</t>
  </si>
  <si>
    <t>LCW292</t>
  </si>
  <si>
    <t>LCW293</t>
  </si>
  <si>
    <t>LCW294</t>
  </si>
  <si>
    <t>LCW295</t>
  </si>
  <si>
    <t>LCW296</t>
  </si>
  <si>
    <t>LCW297</t>
  </si>
  <si>
    <t>LCW298</t>
  </si>
  <si>
    <t>LCW299</t>
  </si>
  <si>
    <t>LCW300</t>
  </si>
  <si>
    <t>LCW301</t>
  </si>
  <si>
    <t>LCW302</t>
  </si>
  <si>
    <t>LCW303</t>
  </si>
  <si>
    <t>LCW304</t>
  </si>
  <si>
    <t>LCW305</t>
  </si>
  <si>
    <t>LCW306</t>
  </si>
  <si>
    <t>LCW307</t>
  </si>
  <si>
    <t>LCW308</t>
  </si>
  <si>
    <t>LCW309</t>
  </si>
  <si>
    <t>LCW310</t>
  </si>
  <si>
    <t>LCW311</t>
  </si>
  <si>
    <t>LCW312</t>
  </si>
  <si>
    <t>LCW313</t>
  </si>
  <si>
    <t>LCW314</t>
  </si>
  <si>
    <t>LCW315</t>
  </si>
  <si>
    <t>LCW316</t>
  </si>
  <si>
    <t>LCW317</t>
  </si>
  <si>
    <t>LCW318</t>
  </si>
  <si>
    <t>LCW319</t>
  </si>
  <si>
    <t>LCW320</t>
  </si>
  <si>
    <t>LCW321</t>
  </si>
  <si>
    <t>LCW322</t>
  </si>
  <si>
    <t>LCW323</t>
  </si>
  <si>
    <t>LCW324</t>
  </si>
  <si>
    <t>LCW325</t>
  </si>
  <si>
    <t>LCW326</t>
  </si>
  <si>
    <t>LCW327</t>
  </si>
  <si>
    <t>LCW328</t>
  </si>
  <si>
    <t>LCW329</t>
  </si>
  <si>
    <t>LCW330</t>
  </si>
  <si>
    <t>LCW331</t>
  </si>
  <si>
    <t>LCW332</t>
  </si>
  <si>
    <t>LCW333</t>
  </si>
  <si>
    <t>LCW334</t>
  </si>
  <si>
    <t>LCW335</t>
  </si>
  <si>
    <t>LCW336</t>
  </si>
  <si>
    <t>LCW337</t>
  </si>
  <si>
    <t>LCW338</t>
  </si>
  <si>
    <t>LCW339</t>
  </si>
  <si>
    <t>LCW340</t>
  </si>
  <si>
    <t>LCW341</t>
  </si>
  <si>
    <t>LCW342</t>
  </si>
  <si>
    <t>LCW343</t>
  </si>
  <si>
    <t>LCW344</t>
  </si>
  <si>
    <t>LCW345</t>
  </si>
  <si>
    <t>LCW346</t>
  </si>
  <si>
    <t>LCW347</t>
  </si>
  <si>
    <t>LCW348</t>
  </si>
  <si>
    <t>LCW349</t>
  </si>
  <si>
    <t>LCW350</t>
  </si>
  <si>
    <t>LCW351</t>
  </si>
  <si>
    <t>LCW352</t>
  </si>
  <si>
    <t>LCW353</t>
  </si>
  <si>
    <t>LCW354</t>
  </si>
  <si>
    <t>LCW355</t>
  </si>
  <si>
    <t>LCW356</t>
  </si>
  <si>
    <t>LCW357</t>
  </si>
  <si>
    <t>LCW358</t>
  </si>
  <si>
    <t>LCW359</t>
  </si>
  <si>
    <t>LCW360</t>
  </si>
  <si>
    <t>LCW361</t>
  </si>
  <si>
    <t>LCW362</t>
  </si>
  <si>
    <t>LCW363</t>
  </si>
  <si>
    <t>LCW364</t>
  </si>
  <si>
    <t>LCW365</t>
  </si>
  <si>
    <t>LCW366</t>
  </si>
  <si>
    <t>LCW367</t>
  </si>
  <si>
    <t>LCW368</t>
  </si>
  <si>
    <t>LCW369</t>
  </si>
  <si>
    <t>LCW370</t>
  </si>
  <si>
    <t>LCW371</t>
  </si>
  <si>
    <t>LCW372</t>
  </si>
  <si>
    <t>LCW373</t>
  </si>
  <si>
    <t>LCW374</t>
  </si>
  <si>
    <t>LCW375</t>
  </si>
  <si>
    <t>LCW376</t>
  </si>
  <si>
    <t>LCW377</t>
  </si>
  <si>
    <t>LCW378</t>
  </si>
  <si>
    <t>LCW379</t>
  </si>
  <si>
    <t>LCW380</t>
  </si>
  <si>
    <t>LCW381</t>
  </si>
  <si>
    <t>LCW382</t>
  </si>
  <si>
    <t>LCW383</t>
  </si>
  <si>
    <t>LCW384</t>
  </si>
  <si>
    <t>LCW385</t>
  </si>
  <si>
    <t>LCW386</t>
  </si>
  <si>
    <t>LCW387</t>
  </si>
  <si>
    <t>LCW388</t>
  </si>
  <si>
    <t>LCW389</t>
  </si>
  <si>
    <t>LCW390</t>
  </si>
  <si>
    <t>LCW391</t>
  </si>
  <si>
    <t>LCW392</t>
  </si>
  <si>
    <t>LCW393</t>
  </si>
  <si>
    <t>LCW394</t>
  </si>
  <si>
    <t>LCW395</t>
  </si>
  <si>
    <t>LCW396</t>
  </si>
  <si>
    <t>LCW397</t>
  </si>
  <si>
    <t>LCW398</t>
  </si>
  <si>
    <t>LCW399</t>
  </si>
  <si>
    <t>LCW400</t>
  </si>
  <si>
    <t>LCW401</t>
  </si>
  <si>
    <t>LCW402</t>
  </si>
  <si>
    <t>LCW403</t>
  </si>
  <si>
    <t>LCW404</t>
  </si>
  <si>
    <t>LCW405</t>
  </si>
  <si>
    <t>LCW406</t>
  </si>
  <si>
    <t>LCW407</t>
  </si>
  <si>
    <t>LCW408</t>
  </si>
  <si>
    <t>LCW409</t>
  </si>
  <si>
    <t>LCW410</t>
  </si>
  <si>
    <t>LCW411</t>
  </si>
  <si>
    <t>LCW412</t>
  </si>
  <si>
    <t>LCW413</t>
  </si>
  <si>
    <t>LCW414</t>
  </si>
  <si>
    <t>LCW415</t>
  </si>
  <si>
    <t>Year</t>
  </si>
  <si>
    <t>Set_1_Score</t>
  </si>
  <si>
    <t>Set_2_Score</t>
  </si>
  <si>
    <t>Set_3_Score</t>
  </si>
  <si>
    <t>21-12</t>
  </si>
  <si>
    <t>18-21</t>
  </si>
  <si>
    <t>20-22</t>
  </si>
  <si>
    <t/>
  </si>
  <si>
    <t>21-15</t>
  </si>
  <si>
    <t>23-21</t>
  </si>
  <si>
    <t>21-8</t>
  </si>
  <si>
    <t>21-10</t>
  </si>
  <si>
    <t>21-7</t>
  </si>
  <si>
    <t>21-5</t>
  </si>
  <si>
    <t>25-23</t>
  </si>
  <si>
    <t>11-21</t>
  </si>
  <si>
    <t>21-11</t>
  </si>
  <si>
    <t>21-9</t>
  </si>
  <si>
    <t>21-6</t>
  </si>
  <si>
    <t>21-2</t>
  </si>
  <si>
    <t>12-21</t>
  </si>
  <si>
    <t>8-21</t>
  </si>
  <si>
    <t>24-26</t>
  </si>
  <si>
    <t>22-24</t>
  </si>
  <si>
    <t>7-21</t>
  </si>
  <si>
    <t>10-21</t>
  </si>
  <si>
    <t>24-22</t>
  </si>
  <si>
    <t>6-21</t>
  </si>
  <si>
    <t>21-4</t>
  </si>
  <si>
    <t>21-3</t>
  </si>
  <si>
    <t>Result</t>
  </si>
  <si>
    <t>Month</t>
  </si>
  <si>
    <t>Day</t>
  </si>
  <si>
    <t>Row Labels</t>
  </si>
  <si>
    <t>Grand Total</t>
  </si>
  <si>
    <t>Count of Match_Id</t>
  </si>
  <si>
    <t>Loss</t>
  </si>
  <si>
    <t>Win</t>
  </si>
  <si>
    <t>(All)</t>
  </si>
  <si>
    <t>WIN RATE</t>
  </si>
  <si>
    <t>Column Labels</t>
  </si>
  <si>
    <t xml:space="preserve">WIN RATE BY YEAR </t>
  </si>
  <si>
    <t xml:space="preserve">WIN RATE BY TIER </t>
  </si>
  <si>
    <t>WIN RATE IN ROUNDS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</si>
</sst>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8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 tint="0.79998168889431442"/>
        <bgColor theme="4" tint="0.79998168889431442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thin">
        <color theme="4" tint="0.39997558519241921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7">
    <xf numFmtId="0" fontId="0" fillId="0" borderId="0" xfId="0"/>
    <xf numFmtId="14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16" fillId="33" borderId="10" xfId="0" applyFont="1" applyFill="1" applyBorder="1"/>
    <xf numFmtId="0" fontId="0" fillId="0" borderId="0" xfId="0" applyAlignment="1">
      <alignment horizontal="left" indent="1"/>
    </xf>
    <xf numFmtId="9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10/relationships/person" Target="persons/perso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Relationship Id="rId9" Type="http://schemas.openxmlformats.org/officeDocument/2006/relationships/calcChain" Target="calcChain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Lenovo" refreshedDate="46281.019438541669" createdVersion="8" refreshedVersion="8" minRefreshableVersion="3" recordCount="415" xr:uid="{F8881E59-31B3-4C85-A75B-773F2F1D8A68}">
  <cacheSource type="worksheet">
    <worksheetSource ref="A1:P416" sheet="Lee Chong Wei (Cleaned Sheet)"/>
  </cacheSource>
  <cacheFields count="16">
    <cacheField name="Match_Id" numFmtId="0">
      <sharedItems/>
    </cacheField>
    <cacheField name="Date" numFmtId="14">
      <sharedItems containsSemiMixedTypes="0" containsNonDate="0" containsDate="1" containsString="0" minDate="2007-03-14T00:00:00" maxDate="2018-07-07T00:00:00"/>
    </cacheField>
    <cacheField name="Day" numFmtId="14">
      <sharedItems/>
    </cacheField>
    <cacheField name="Month" numFmtId="14">
      <sharedItems/>
    </cacheField>
    <cacheField name="Year" numFmtId="0">
      <sharedItems containsSemiMixedTypes="0" containsString="0" containsNumber="1" containsInteger="1" minValue="2007" maxValue="2018" count="12">
        <n v="2007"/>
        <n v="2008"/>
        <n v="2009"/>
        <n v="2010"/>
        <n v="2011"/>
        <n v="2012"/>
        <n v="2013"/>
        <n v="2014"/>
        <n v="2015"/>
        <n v="2016"/>
        <n v="2017"/>
        <n v="2018"/>
      </sharedItems>
    </cacheField>
    <cacheField name="Tournament" numFmtId="0">
      <sharedItems count="94">
        <s v="Wilson Badminton Swiss Open 07"/>
        <s v="Aviva Open Singapore Super Series 2007"/>
        <s v="Djarum Indonesia Open Super Series  2007"/>
        <s v="China Masters SS  2007"/>
        <s v="YONEX OPEN JAPAN SUPER SERIES 2007"/>
        <s v="PROTON MALAYSIA OPEN SUPER SERIES 2008"/>
        <s v="AVIVA SINGAPORE SUPER SERIES 2008"/>
        <s v="Yonex Japan Super Series 2008"/>
        <s v="MACAU GRAND PRIX GOLD 2008"/>
        <s v="FRENCH SUPER SERIES 2008"/>
        <s v="LI NING CHINA OPEN SUPER SERIES 08"/>
        <s v="World Super Series Masters Finals 2008"/>
        <s v="MALAYSIA SUPER SERIES 2009"/>
        <s v="YONEX KOREA SUPER SERIES 2009"/>
        <s v="Yonex All England Open Super Series 2009"/>
        <s v="WILSON SWISS SUPER SERIES 2009"/>
        <s v="Yonex Sunrise India Open 2009"/>
        <s v="AVIVA SINGAPORE SUPER SERIES 2009"/>
        <s v="DJARUM INDONESIA SUPER SERIES 2009"/>
        <s v="YONEX SUNRISE MALAYSIA OPEN GRAND PRIX GOLD 2009"/>
        <s v="MACAU GRAND PRIX GOLD 2009"/>
        <s v="LI NING CHINA MASTERS SUPER SERIES 2009"/>
        <s v="YONEX OPEN JAPAN SUPER SERIES 2009"/>
        <s v="YONEX SUNRISE HONG KONG OPEN SUPER SERIES 2009"/>
        <s v="CHINA SUPER SERIES 2009"/>
        <s v="YONEX-SUNRISE BWF WORLD SUPER SERIES MASTERS FINALS 2009"/>
        <s v="KOREA SUPER SERIES 2010"/>
        <s v="PROTON MALAYSIA OPEN SUPER SERIES 2010"/>
        <s v="ALL ENGLAND SUPER SERIES 2010"/>
        <s v="LI-NING SINGAPORE OPEN SUPER SERIES 2010"/>
        <s v="DJARUM INDONESIA OPEN SUPER SERIES 2010"/>
        <s v="YONEX-SUNRISE MALAYSIA OPEN GRAND PRIX GOLD 2010"/>
        <s v="Kumpoo Macau Open Badminton Championships"/>
        <s v="JAPAN SUPER SERIES 2010"/>
        <s v="YONEX-SUNRISE Hong Kong Open Super Series 2010"/>
        <s v="VICTOR- BWF Superseries Finals 2010"/>
        <s v="PROTON Malaysia Open"/>
        <s v="VICTOR Korea Open 2011"/>
        <s v="YONEX  All England Open"/>
        <s v="YONEX-SUNRISE  India Open"/>
        <s v="YONEX-SUNRISE Malaysia Open Grand Prix Gold 2011"/>
        <s v="DJARUM Indonesia Open 2011"/>
        <s v="YONEX BWF World Championships 2011"/>
        <s v="YONEX Open Japan"/>
        <s v="Yonex Denmark Open 2011"/>
        <s v="Yonex Badminton French Open 2011"/>
        <s v="Yonex Sunrise Hong Kong Open 2011"/>
        <s v="Li Ning  China Open 2011"/>
        <s v="Li Ning BWF World Superseries Finals 2011"/>
        <s v="Victor Korea  Open  2012"/>
        <s v="MAYBANK Malaysia Open Presented by PROTON"/>
        <s v="YONEX All England Open Badminton Championships  2012"/>
        <s v="Yonex Sunrise India Open 2012"/>
        <s v="YONEX-SUNRISE Malaysia Open GP Gold 2012"/>
        <s v="YONEX Open Japan 2012"/>
        <s v="YONEX Denmark Open 2012"/>
        <s v="Yonex Sunrise Hong Kong Open 2012"/>
        <s v="BWF Superseries Finals 2012"/>
        <s v="VICTOR Korea Open 2013"/>
        <s v="MAYBANK Malaysia Open 2013"/>
        <s v="Yonex All England Open Badminton Championships 2013"/>
        <s v="Yonex Australian Badminton Open 2013"/>
        <s v="Yonex Sunrise India Open 2013"/>
        <s v="Djarum  Indonesia Open 2013"/>
        <s v="Yonex Open  Japan 2013"/>
        <s v="Yonex Denmark Open 2013"/>
        <s v="Yonex French Open 2013"/>
        <s v="Yonex  Sunrise Hong Kong Open 2013"/>
        <s v="BWF World Superseries Finals 2013"/>
        <s v="Victor Korea Open"/>
        <s v="Maybank Malaysia Open"/>
        <s v="Yonex All England Open"/>
        <s v="Yonex- Sunrise India Open"/>
        <s v="OUE Singapore Open"/>
        <s v="Yonex Japan Open"/>
        <s v="BCA Indonesian Open"/>
        <s v="Li Ning BWF World Championships 2014"/>
        <s v="Yonex Suffolk County Community College US Open"/>
        <s v="Yonex Canada Open"/>
        <s v="Yonex Denmark Open"/>
        <s v="Yonex French Open"/>
        <s v="Thaihot China Open"/>
        <s v="YONEX-SUNRISE Hong Kong Open"/>
        <s v="Victor Far East Malaysia Masters"/>
        <s v="YONEX SUNRISE India Open"/>
        <s v="Rio 2016 Olympic Games"/>
        <s v="CELCOM AXIATA Malaysia Open"/>
        <s v="BCA Indonesia Open"/>
        <s v="DAIHATSU YONEX Japan Open"/>
        <s v="DANISA Denmark Open"/>
        <s v="TAHOE China Open"/>
        <s v="Dubai World Superseries Finals 2017"/>
        <s v="CELCOM AXIATA Malaysia Open 2018"/>
        <s v="BLIBLI Indonesia Open 2018"/>
      </sharedItems>
    </cacheField>
    <cacheField name="Tier" numFmtId="0">
      <sharedItems count="7">
        <s v="World Superseries"/>
        <s v="Grand Prix Gold"/>
        <s v="World Superseries Premier"/>
        <s v="Grade 1 â€“ Individual Tournaments"/>
        <s v="Grand Prix"/>
        <s v="HSBC BWF World Tour Super 750"/>
        <s v="HSBC BWF World Tour Super 1000"/>
      </sharedItems>
    </cacheField>
    <cacheField name="Round" numFmtId="0">
      <sharedItems count="11">
        <s v="R32"/>
        <s v="R16"/>
        <s v="SF"/>
        <s v="Final"/>
        <s v="QF"/>
        <s v="R64"/>
        <s v="R2"/>
        <s v="R3"/>
        <s v="R1"/>
        <s v="Q Qual. R16"/>
        <s v="Q Qual. QF"/>
      </sharedItems>
    </cacheField>
    <cacheField name="Host_Location " numFmtId="0">
      <sharedItems containsBlank="1"/>
    </cacheField>
    <cacheField name="Player" numFmtId="0">
      <sharedItems/>
    </cacheField>
    <cacheField name="Opponent " numFmtId="0">
      <sharedItems count="106">
        <s v="Ronald SUSILO"/>
        <s v="Muhammad Hafiz HASHIM"/>
        <s v="Beng Hong KUAN"/>
        <s v="Simon SANTOSO"/>
        <s v="CHEN Hong"/>
        <s v="BAO Chunlai"/>
        <s v="Andrew SMITH"/>
        <s v="Sairul Amar AYOB"/>
        <s v="Taufik HIDAYAT"/>
        <s v="CHEN Jin"/>
        <s v="Przemyslaw WACHA"/>
        <s v="CHEN Yu"/>
        <s v="LEE Hyun Il"/>
        <s v="Sho SASAKI"/>
        <s v="Choong Hann WONG"/>
        <s v="Joachim PERSSON"/>
        <s v="Peter Hoeg GADE"/>
        <s v="ZHU Weilun"/>
        <s v="QIU Yanbo"/>
        <s v="Sony Dwi KUNCORO"/>
        <s v="MOU Chi Keong"/>
        <s v="LIU Chih Lun"/>
        <s v="Tanongsak SAENSOMBOONSUK"/>
        <s v="Alamsyah YUNUS"/>
        <s v="Arvind BHAT"/>
        <s v="CHAN Yan Kit"/>
        <s v="LU Yi"/>
        <s v="NG Wei"/>
        <s v="PARK Sung Hwan"/>
        <s v="LIN Dan"/>
        <s v="Andre Kurniawan TEDJONO"/>
        <s v="Tien Minh NGUYEN"/>
        <s v="HONG Ji Hoon"/>
        <s v="Marc ZWIEBLER"/>
        <s v="Ville LANG"/>
        <s v="Kenichi TAGO"/>
        <s v="Boonsak PONSANA"/>
        <s v="Jan O JORGENSEN"/>
        <s v="CHEN Long"/>
        <s v="Zi Liang Derek WONG"/>
        <s v="Fang Yang LIM"/>
        <s v="ZHOU Wenlong"/>
        <s v="HU Yun"/>
        <s v="Jiann Shiarng CHIANG"/>
        <s v="WANG Zhengming"/>
        <s v="GAO Huan"/>
        <s v="Chetan ANAND"/>
        <s v="LU Qicheng"/>
        <s v="Rajiv OUSEPH"/>
        <s v="DU Pengyu"/>
        <s v="HSIEH Yu Hsing"/>
        <s v="SON Wan Ho"/>
        <s v="Brice LEVERDEZ"/>
        <s v="Dionysius Hayom RUMBAKA"/>
        <s v="Arak BHOKANANDH"/>
        <s v="LIEW Daren"/>
        <s v="WONG Wing Ki Vincent"/>
        <s v="Ajay JAYARAM"/>
        <s v="CHAN Io Chong"/>
        <s v="HSU Jen Hao"/>
        <s v="GURUSAIDUTT R. M. V."/>
        <s v="Christian LIND THOMSEN"/>
        <s v="Tommy SUGIARTO"/>
        <s v="Sourabh VERMA"/>
        <s v="Robin GONANSA"/>
        <s v="Takuma UEDA"/>
        <s v="Kevin CORDON"/>
        <s v="PARUPALLI Kashyap"/>
        <s v="Anand PAWAR"/>
        <s v="Pablo ABIAN"/>
        <s v="Viktor AXELSEN"/>
        <s v="HSUEH Hsuan Yi"/>
        <s v="Kazushi YAMADA"/>
        <s v="Hans-Kristian Solberg VITTINGHUS"/>
        <s v="Michael FOWKE"/>
        <s v="SAI PRANEETH B."/>
        <s v="CHONG Wei Feng"/>
        <s v="Prasojo Adi ANDRIANUS"/>
        <s v="QIAO Bin"/>
        <s v="TIAN Houwei"/>
        <s v="Scott EVANS"/>
        <s v="Kazumasa SAKAI"/>
        <s v="PRANNOY H. S."/>
        <s v="Jun TAKEMURA"/>
        <s v="LEE Dong Keun"/>
        <s v="KIDAMBI Srikanth"/>
        <s v="Kento MOMOTA"/>
        <s v="K. Ajay Kumar"/>
        <s v="WEI Nan"/>
        <s v="Yuekun  CHEN"/>
        <s v="SHIH Kuei Chun"/>
        <s v="Dieter DOMKE"/>
        <s v="GUO Kai"/>
        <s v="Alistair CASEY"/>
        <s v="HEO Kwang Hee"/>
        <s v="CHOU Tien Chen"/>
        <s v="NG Ka Long Angus"/>
        <s v="Fikri Ihsandi HADMADI"/>
        <s v="Kantawat LEELAVECHABUTR"/>
        <s v="Iskandar ZULKARNAIN"/>
        <s v="Soren OPTI"/>
        <s v="SHI Yu Qi"/>
        <s v="WANG Tzu Wei"/>
        <s v="JEON Hyeok Jin"/>
        <s v="Kenta NISHIMOTO"/>
        <s v="Kantaphon WANGCHAROEN"/>
      </sharedItems>
    </cacheField>
    <cacheField name="Winner " numFmtId="0">
      <sharedItems/>
    </cacheField>
    <cacheField name="Result" numFmtId="0">
      <sharedItems count="2">
        <s v="Loss"/>
        <s v="Win"/>
      </sharedItems>
    </cacheField>
    <cacheField name="Set_1_Score" numFmtId="0">
      <sharedItems/>
    </cacheField>
    <cacheField name="Set_2_Score" numFmtId="0">
      <sharedItems/>
    </cacheField>
    <cacheField name="Set_3_Score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15">
  <r>
    <s v="LCW001"/>
    <d v="2007-03-14T00:00:00"/>
    <s v="Wednesday"/>
    <s v="March"/>
    <x v="0"/>
    <x v="0"/>
    <x v="0"/>
    <x v="0"/>
    <s v="Switzerland"/>
    <s v="LEE Chong Wei"/>
    <x v="0"/>
    <s v="Ronald SUSILO"/>
    <x v="0"/>
    <s v="19-21"/>
    <s v="21-12"/>
    <s v="19-21"/>
  </r>
  <r>
    <s v="LCW002"/>
    <d v="2007-05-02T00:00:00"/>
    <s v="Wednesday"/>
    <s v="May"/>
    <x v="0"/>
    <x v="1"/>
    <x v="0"/>
    <x v="0"/>
    <s v="Singapore"/>
    <s v="LEE Chong Wei"/>
    <x v="1"/>
    <s v="Muhammad Hafiz HASHIM"/>
    <x v="0"/>
    <s v="21-16"/>
    <s v="18-21"/>
    <s v="20-22"/>
  </r>
  <r>
    <s v="LCW003"/>
    <d v="2007-05-09T00:00:00"/>
    <s v="Wednesday"/>
    <s v="May"/>
    <x v="0"/>
    <x v="2"/>
    <x v="0"/>
    <x v="0"/>
    <s v="Indonesia"/>
    <s v="LEE Chong Wei"/>
    <x v="2"/>
    <s v="LEE Chong Wei"/>
    <x v="1"/>
    <s v="21-16"/>
    <s v=""/>
    <s v=""/>
  </r>
  <r>
    <s v="LCW004"/>
    <d v="2007-05-10T00:00:00"/>
    <s v="Thursday"/>
    <s v="May"/>
    <x v="0"/>
    <x v="2"/>
    <x v="0"/>
    <x v="1"/>
    <s v="Indonesia"/>
    <s v="LEE Chong Wei"/>
    <x v="3"/>
    <s v="LEE Chong Wei"/>
    <x v="1"/>
    <s v="21-17"/>
    <s v="14-21"/>
    <s v="21-15"/>
  </r>
  <r>
    <s v="LCW005"/>
    <d v="2007-05-12T00:00:00"/>
    <s v="Saturday"/>
    <s v="May"/>
    <x v="0"/>
    <x v="2"/>
    <x v="0"/>
    <x v="2"/>
    <s v="Indonesia"/>
    <s v="LEE Chong Wei"/>
    <x v="4"/>
    <s v="LEE Chong Wei"/>
    <x v="1"/>
    <s v="23-21"/>
    <s v=""/>
    <s v=""/>
  </r>
  <r>
    <s v="LCW006"/>
    <d v="2007-05-13T00:00:00"/>
    <s v="Sunday"/>
    <s v="May"/>
    <x v="0"/>
    <x v="2"/>
    <x v="0"/>
    <x v="3"/>
    <s v="Indonesia"/>
    <s v="LEE Chong Wei"/>
    <x v="5"/>
    <s v="LEE Chong Wei"/>
    <x v="1"/>
    <s v="21-15"/>
    <s v=""/>
    <s v=""/>
  </r>
  <r>
    <s v="LCW007"/>
    <d v="2007-07-11T00:00:00"/>
    <s v="Wednesday"/>
    <s v="July"/>
    <x v="0"/>
    <x v="3"/>
    <x v="0"/>
    <x v="0"/>
    <s v="China"/>
    <s v="LEE Chong Wei"/>
    <x v="6"/>
    <s v="LEE Chong Wei"/>
    <x v="1"/>
    <s v="21-8"/>
    <s v=""/>
    <s v=""/>
  </r>
  <r>
    <s v="LCW008"/>
    <d v="2007-07-12T00:00:00"/>
    <s v="Thursday"/>
    <s v="July"/>
    <x v="0"/>
    <x v="3"/>
    <x v="0"/>
    <x v="1"/>
    <s v="China"/>
    <s v="LEE Chong Wei"/>
    <x v="7"/>
    <s v="LEE Chong Wei"/>
    <x v="1"/>
    <s v="21-15"/>
    <s v=""/>
    <s v=""/>
  </r>
  <r>
    <s v="LCW009"/>
    <d v="2007-07-13T00:00:00"/>
    <s v="Friday"/>
    <s v="July"/>
    <x v="0"/>
    <x v="3"/>
    <x v="0"/>
    <x v="4"/>
    <s v="China"/>
    <s v="LEE Chong Wei"/>
    <x v="8"/>
    <s v="LEE Chong Wei"/>
    <x v="1"/>
    <s v="22-20"/>
    <s v="20-22"/>
    <s v="21-17"/>
  </r>
  <r>
    <s v="LCW010"/>
    <d v="2007-09-12T00:00:00"/>
    <s v="Wednesday"/>
    <s v="September"/>
    <x v="0"/>
    <x v="4"/>
    <x v="0"/>
    <x v="0"/>
    <s v="Japan"/>
    <s v="LEE Chong Wei"/>
    <x v="1"/>
    <s v="LEE Chong Wei"/>
    <x v="1"/>
    <s v="22-20"/>
    <s v=""/>
    <s v=""/>
  </r>
  <r>
    <s v="LCW011"/>
    <d v="2007-09-13T00:00:00"/>
    <s v="Thursday"/>
    <s v="September"/>
    <x v="0"/>
    <x v="4"/>
    <x v="0"/>
    <x v="1"/>
    <s v="Japan"/>
    <s v="LEE Chong Wei"/>
    <x v="0"/>
    <s v="LEE Chong Wei"/>
    <x v="1"/>
    <s v="19-21"/>
    <s v="21-8"/>
    <s v="21-10"/>
  </r>
  <r>
    <s v="LCW012"/>
    <d v="2007-09-14T00:00:00"/>
    <s v="Friday"/>
    <s v="September"/>
    <x v="0"/>
    <x v="4"/>
    <x v="0"/>
    <x v="4"/>
    <s v="Japan"/>
    <s v="LEE Chong Wei"/>
    <x v="9"/>
    <s v="LEE Chong Wei"/>
    <x v="1"/>
    <s v="21-7"/>
    <s v=""/>
    <s v=""/>
  </r>
  <r>
    <s v="LCW013"/>
    <d v="2007-09-16T00:00:00"/>
    <s v="Sunday"/>
    <s v="September"/>
    <x v="0"/>
    <x v="4"/>
    <x v="0"/>
    <x v="3"/>
    <s v="Japan"/>
    <s v="LEE Chong Wei"/>
    <x v="8"/>
    <s v="LEE Chong Wei"/>
    <x v="1"/>
    <s v="22-20"/>
    <s v="19-21"/>
    <s v="21-19"/>
  </r>
  <r>
    <s v="LCW014"/>
    <d v="2008-01-16T00:00:00"/>
    <s v="Wednesday"/>
    <s v="January"/>
    <x v="1"/>
    <x v="5"/>
    <x v="0"/>
    <x v="0"/>
    <s v="Malaysia"/>
    <s v="LEE Chong Wei"/>
    <x v="1"/>
    <s v="LEE Chong Wei"/>
    <x v="1"/>
    <s v="21-17"/>
    <s v=""/>
    <s v=""/>
  </r>
  <r>
    <s v="LCW015"/>
    <d v="2008-01-17T00:00:00"/>
    <s v="Thursday"/>
    <s v="January"/>
    <x v="1"/>
    <x v="5"/>
    <x v="0"/>
    <x v="1"/>
    <s v="Malaysia"/>
    <s v="LEE Chong Wei"/>
    <x v="10"/>
    <s v="LEE Chong Wei"/>
    <x v="1"/>
    <s v="21-5"/>
    <s v="15-21"/>
    <s v="21-8"/>
  </r>
  <r>
    <s v="LCW016"/>
    <d v="2008-01-18T00:00:00"/>
    <s v="Friday"/>
    <s v="January"/>
    <x v="1"/>
    <x v="5"/>
    <x v="0"/>
    <x v="4"/>
    <s v="Malaysia"/>
    <s v="LEE Chong Wei"/>
    <x v="3"/>
    <s v="LEE Chong Wei"/>
    <x v="1"/>
    <s v="21-13"/>
    <s v=""/>
    <s v=""/>
  </r>
  <r>
    <s v="LCW017"/>
    <d v="2008-01-19T00:00:00"/>
    <s v="Saturday"/>
    <s v="January"/>
    <x v="1"/>
    <x v="5"/>
    <x v="0"/>
    <x v="2"/>
    <s v="Malaysia"/>
    <s v="LEE Chong Wei"/>
    <x v="11"/>
    <s v="LEE Chong Wei"/>
    <x v="1"/>
    <s v="25-23"/>
    <s v=""/>
    <s v=""/>
  </r>
  <r>
    <s v="LCW018"/>
    <d v="2008-01-20T00:00:00"/>
    <s v="Sunday"/>
    <s v="January"/>
    <x v="1"/>
    <x v="5"/>
    <x v="0"/>
    <x v="3"/>
    <s v="Malaysia"/>
    <s v="LEE Chong Wei"/>
    <x v="12"/>
    <s v="LEE Chong Wei"/>
    <x v="1"/>
    <s v="21-15"/>
    <s v="11-21"/>
    <s v="21-17"/>
  </r>
  <r>
    <s v="LCW019"/>
    <d v="2008-06-11T00:00:00"/>
    <s v="Wednesday"/>
    <s v="June"/>
    <x v="1"/>
    <x v="6"/>
    <x v="0"/>
    <x v="0"/>
    <s v="Singapore"/>
    <s v="LEE Chong Wei"/>
    <x v="13"/>
    <s v="LEE Chong Wei"/>
    <x v="1"/>
    <s v="21-11"/>
    <s v="20-22"/>
    <s v="21-8"/>
  </r>
  <r>
    <s v="LCW020"/>
    <d v="2008-06-12T00:00:00"/>
    <s v="Thursday"/>
    <s v="June"/>
    <x v="1"/>
    <x v="6"/>
    <x v="0"/>
    <x v="1"/>
    <s v="Singapore"/>
    <s v="LEE Chong Wei"/>
    <x v="14"/>
    <s v="LEE Chong Wei"/>
    <x v="1"/>
    <s v="17-21"/>
    <s v="21-5"/>
    <s v="21-9"/>
  </r>
  <r>
    <s v="LCW021"/>
    <d v="2008-06-13T00:00:00"/>
    <s v="Friday"/>
    <s v="June"/>
    <x v="1"/>
    <x v="6"/>
    <x v="0"/>
    <x v="4"/>
    <s v="Singapore"/>
    <s v="LEE Chong Wei"/>
    <x v="15"/>
    <s v="LEE Chong Wei"/>
    <x v="1"/>
    <s v="21-9"/>
    <s v=""/>
    <s v=""/>
  </r>
  <r>
    <s v="LCW022"/>
    <d v="2008-06-14T00:00:00"/>
    <s v="Saturday"/>
    <s v="June"/>
    <x v="1"/>
    <x v="6"/>
    <x v="0"/>
    <x v="2"/>
    <s v="Singapore"/>
    <s v="LEE Chong Wei"/>
    <x v="16"/>
    <s v="LEE Chong Wei"/>
    <x v="1"/>
    <s v="21-18"/>
    <s v=""/>
    <s v=""/>
  </r>
  <r>
    <s v="LCW023"/>
    <d v="2008-06-15T00:00:00"/>
    <s v="Sunday"/>
    <s v="June"/>
    <x v="1"/>
    <x v="6"/>
    <x v="0"/>
    <x v="3"/>
    <s v="Singapore"/>
    <s v="LEE Chong Wei"/>
    <x v="3"/>
    <s v="LEE Chong Wei"/>
    <x v="1"/>
    <s v="21-13"/>
    <s v=""/>
    <s v=""/>
  </r>
  <r>
    <s v="LCW024"/>
    <d v="2008-09-17T00:00:00"/>
    <s v="Wednesday"/>
    <s v="September"/>
    <x v="1"/>
    <x v="7"/>
    <x v="0"/>
    <x v="0"/>
    <s v="Japan"/>
    <s v="LEE Chong Wei"/>
    <x v="17"/>
    <s v="LEE Chong Wei"/>
    <x v="1"/>
    <s v="25-23"/>
    <s v=""/>
    <s v=""/>
  </r>
  <r>
    <s v="LCW025"/>
    <d v="2008-09-18T00:00:00"/>
    <s v="Thursday"/>
    <s v="September"/>
    <x v="1"/>
    <x v="7"/>
    <x v="0"/>
    <x v="1"/>
    <s v="Japan"/>
    <s v="LEE Chong Wei"/>
    <x v="13"/>
    <s v="LEE Chong Wei"/>
    <x v="1"/>
    <s v="21-7"/>
    <s v=""/>
    <s v=""/>
  </r>
  <r>
    <s v="LCW026"/>
    <d v="2008-09-19T00:00:00"/>
    <s v="Friday"/>
    <s v="September"/>
    <x v="1"/>
    <x v="7"/>
    <x v="0"/>
    <x v="4"/>
    <s v="Japan"/>
    <s v="LEE Chong Wei"/>
    <x v="18"/>
    <s v="LEE Chong Wei"/>
    <x v="1"/>
    <s v="21-17"/>
    <s v=""/>
    <s v=""/>
  </r>
  <r>
    <s v="LCW027"/>
    <d v="2008-09-20T00:00:00"/>
    <s v="Saturday"/>
    <s v="September"/>
    <x v="1"/>
    <x v="7"/>
    <x v="0"/>
    <x v="2"/>
    <s v="Japan"/>
    <s v="LEE Chong Wei"/>
    <x v="15"/>
    <s v="LEE Chong Wei"/>
    <x v="1"/>
    <s v="21-6"/>
    <s v=""/>
    <s v=""/>
  </r>
  <r>
    <s v="LCW028"/>
    <d v="2008-09-21T00:00:00"/>
    <s v="Sunday"/>
    <s v="September"/>
    <x v="1"/>
    <x v="7"/>
    <x v="0"/>
    <x v="3"/>
    <s v="Japan"/>
    <s v="LEE Chong Wei"/>
    <x v="19"/>
    <s v="Sony Dwi KUNCORO"/>
    <x v="0"/>
    <s v="17-21"/>
    <s v=""/>
    <s v=""/>
  </r>
  <r>
    <s v="LCW029"/>
    <d v="2008-09-30T00:00:00"/>
    <s v="Tuesday"/>
    <s v="September"/>
    <x v="1"/>
    <x v="8"/>
    <x v="1"/>
    <x v="5"/>
    <m/>
    <s v="LEE Chong Wei"/>
    <x v="20"/>
    <s v="LEE Chong Wei"/>
    <x v="1"/>
    <s v="21-2"/>
    <s v=""/>
    <s v=""/>
  </r>
  <r>
    <s v="LCW030"/>
    <d v="2008-10-01T00:00:00"/>
    <s v="Wednesday"/>
    <s v="October"/>
    <x v="1"/>
    <x v="8"/>
    <x v="1"/>
    <x v="0"/>
    <m/>
    <s v="LEE Chong Wei"/>
    <x v="21"/>
    <s v="LEE Chong Wei"/>
    <x v="1"/>
    <s v="21-12"/>
    <s v=""/>
    <s v=""/>
  </r>
  <r>
    <s v="LCW031"/>
    <d v="2008-10-02T00:00:00"/>
    <s v="Thursday"/>
    <s v="October"/>
    <x v="1"/>
    <x v="8"/>
    <x v="1"/>
    <x v="1"/>
    <m/>
    <s v="LEE Chong Wei"/>
    <x v="22"/>
    <s v="LEE Chong Wei"/>
    <x v="1"/>
    <s v="22-20"/>
    <s v=""/>
    <s v=""/>
  </r>
  <r>
    <s v="LCW032"/>
    <d v="2008-10-04T00:00:00"/>
    <s v="Saturday"/>
    <s v="October"/>
    <x v="1"/>
    <x v="8"/>
    <x v="1"/>
    <x v="2"/>
    <m/>
    <s v="LEE Chong Wei"/>
    <x v="23"/>
    <s v="LEE Chong Wei"/>
    <x v="1"/>
    <s v="21-13"/>
    <s v=""/>
    <s v=""/>
  </r>
  <r>
    <s v="LCW033"/>
    <d v="2008-10-05T00:00:00"/>
    <s v="Sunday"/>
    <s v="October"/>
    <x v="1"/>
    <x v="8"/>
    <x v="1"/>
    <x v="3"/>
    <m/>
    <s v="LEE Chong Wei"/>
    <x v="8"/>
    <s v="Taufik HIDAYAT"/>
    <x v="0"/>
    <s v="19-21"/>
    <s v=""/>
    <s v=""/>
  </r>
  <r>
    <s v="LCW034"/>
    <d v="2008-10-29T00:00:00"/>
    <s v="Wednesday"/>
    <s v="October"/>
    <x v="1"/>
    <x v="9"/>
    <x v="0"/>
    <x v="0"/>
    <s v="France"/>
    <s v="LEE Chong Wei"/>
    <x v="24"/>
    <s v="LEE Chong Wei"/>
    <x v="1"/>
    <s v="21-14"/>
    <s v=""/>
    <s v=""/>
  </r>
  <r>
    <s v="LCW035"/>
    <d v="2008-10-30T00:00:00"/>
    <s v="Thursday"/>
    <s v="October"/>
    <x v="1"/>
    <x v="9"/>
    <x v="0"/>
    <x v="1"/>
    <s v="France"/>
    <s v="LEE Chong Wei"/>
    <x v="25"/>
    <s v="LEE Chong Wei"/>
    <x v="1"/>
    <s v="21-10"/>
    <s v=""/>
    <s v=""/>
  </r>
  <r>
    <s v="LCW036"/>
    <d v="2008-10-31T00:00:00"/>
    <s v="Friday"/>
    <s v="October"/>
    <x v="1"/>
    <x v="9"/>
    <x v="0"/>
    <x v="4"/>
    <s v="France"/>
    <s v="LEE Chong Wei"/>
    <x v="26"/>
    <s v="LEE Chong Wei"/>
    <x v="1"/>
    <s v="21-14"/>
    <s v=""/>
    <s v=""/>
  </r>
  <r>
    <s v="LCW037"/>
    <d v="2008-11-01T00:00:00"/>
    <s v="Saturday"/>
    <s v="November"/>
    <x v="1"/>
    <x v="9"/>
    <x v="0"/>
    <x v="2"/>
    <s v="France"/>
    <s v="LEE Chong Wei"/>
    <x v="8"/>
    <s v="Taufik HIDAYAT"/>
    <x v="0"/>
    <s v="21-16"/>
    <s v="14-21"/>
    <s v="12-21"/>
  </r>
  <r>
    <s v="LCW038"/>
    <d v="2008-11-19T00:00:00"/>
    <s v="Wednesday"/>
    <s v="November"/>
    <x v="1"/>
    <x v="10"/>
    <x v="0"/>
    <x v="0"/>
    <s v="China"/>
    <s v="LEE Chong Wei"/>
    <x v="18"/>
    <s v="LEE Chong Wei"/>
    <x v="1"/>
    <s v="8-21"/>
    <s v="21-14"/>
    <s v="21-16"/>
  </r>
  <r>
    <s v="LCW039"/>
    <d v="2008-11-20T00:00:00"/>
    <s v="Thursday"/>
    <s v="November"/>
    <x v="1"/>
    <x v="10"/>
    <x v="0"/>
    <x v="1"/>
    <s v="China"/>
    <s v="LEE Chong Wei"/>
    <x v="27"/>
    <s v="LEE Chong Wei"/>
    <x v="1"/>
    <s v="21-13"/>
    <s v=""/>
    <s v=""/>
  </r>
  <r>
    <s v="LCW040"/>
    <d v="2008-11-21T00:00:00"/>
    <s v="Friday"/>
    <s v="November"/>
    <x v="1"/>
    <x v="10"/>
    <x v="0"/>
    <x v="4"/>
    <s v="China"/>
    <s v="LEE Chong Wei"/>
    <x v="14"/>
    <s v="LEE Chong Wei"/>
    <x v="1"/>
    <s v="21-19"/>
    <s v="19-21"/>
    <s v="21-10"/>
  </r>
  <r>
    <s v="LCW041"/>
    <d v="2008-11-22T00:00:00"/>
    <s v="Saturday"/>
    <s v="November"/>
    <x v="1"/>
    <x v="10"/>
    <x v="0"/>
    <x v="2"/>
    <s v="China"/>
    <s v="LEE Chong Wei"/>
    <x v="28"/>
    <s v="LEE Chong Wei"/>
    <x v="1"/>
    <s v="17-21"/>
    <s v="21-8"/>
    <s v="21-7"/>
  </r>
  <r>
    <s v="LCW042"/>
    <d v="2008-11-23T00:00:00"/>
    <s v="Sunday"/>
    <s v="November"/>
    <x v="1"/>
    <x v="10"/>
    <x v="0"/>
    <x v="3"/>
    <s v="China"/>
    <s v="LEE Chong Wei"/>
    <x v="29"/>
    <s v="LIN Dan"/>
    <x v="0"/>
    <s v="18-21"/>
    <s v=""/>
    <s v=""/>
  </r>
  <r>
    <s v="LCW043"/>
    <d v="2008-12-18T00:00:00"/>
    <s v="Thursday"/>
    <s v="December"/>
    <x v="1"/>
    <x v="11"/>
    <x v="2"/>
    <x v="6"/>
    <m/>
    <s v="LEE Chong Wei"/>
    <x v="16"/>
    <s v="LEE Chong Wei"/>
    <x v="1"/>
    <s v="21-19"/>
    <s v=""/>
    <s v=""/>
  </r>
  <r>
    <s v="LCW044"/>
    <d v="2008-12-18T00:00:00"/>
    <s v="Thursday"/>
    <s v="December"/>
    <x v="1"/>
    <x v="11"/>
    <x v="2"/>
    <x v="7"/>
    <m/>
    <s v="LEE Chong Wei"/>
    <x v="14"/>
    <s v="LEE Chong Wei"/>
    <x v="1"/>
    <s v="21-14"/>
    <s v=""/>
    <s v=""/>
  </r>
  <r>
    <s v="LCW045"/>
    <d v="2008-12-19T00:00:00"/>
    <s v="Friday"/>
    <s v="December"/>
    <x v="1"/>
    <x v="11"/>
    <x v="2"/>
    <x v="8"/>
    <m/>
    <s v="LEE Chong Wei"/>
    <x v="25"/>
    <s v="LEE Chong Wei"/>
    <x v="1"/>
    <s v="21-13"/>
    <s v="20-22"/>
    <s v="21-8"/>
  </r>
  <r>
    <s v="LCW046"/>
    <d v="2008-12-20T00:00:00"/>
    <s v="Saturday"/>
    <s v="December"/>
    <x v="1"/>
    <x v="11"/>
    <x v="2"/>
    <x v="2"/>
    <m/>
    <s v="LEE Chong Wei"/>
    <x v="8"/>
    <s v="LEE Chong Wei"/>
    <x v="1"/>
    <s v="21-5"/>
    <s v=""/>
    <s v=""/>
  </r>
  <r>
    <s v="LCW047"/>
    <d v="2008-12-21T00:00:00"/>
    <s v="Sunday"/>
    <s v="December"/>
    <x v="1"/>
    <x v="11"/>
    <x v="2"/>
    <x v="3"/>
    <m/>
    <s v="LEE Chong Wei"/>
    <x v="16"/>
    <s v="LEE Chong Wei"/>
    <x v="1"/>
    <s v="21-8"/>
    <s v=""/>
    <s v=""/>
  </r>
  <r>
    <s v="LCW048"/>
    <d v="2009-01-07T00:00:00"/>
    <s v="Wednesday"/>
    <s v="January"/>
    <x v="2"/>
    <x v="12"/>
    <x v="0"/>
    <x v="0"/>
    <s v="Malaysia"/>
    <s v="LEE Chong Wei"/>
    <x v="30"/>
    <s v="LEE Chong Wei"/>
    <x v="1"/>
    <s v="21-17"/>
    <s v=""/>
    <s v=""/>
  </r>
  <r>
    <s v="LCW049"/>
    <d v="2009-01-08T00:00:00"/>
    <s v="Thursday"/>
    <s v="January"/>
    <x v="2"/>
    <x v="12"/>
    <x v="0"/>
    <x v="1"/>
    <s v="Malaysia"/>
    <s v="LEE Chong Wei"/>
    <x v="31"/>
    <s v="LEE Chong Wei"/>
    <x v="1"/>
    <s v="21-9"/>
    <s v="18-21"/>
    <s v="21-7"/>
  </r>
  <r>
    <s v="LCW050"/>
    <d v="2009-01-09T00:00:00"/>
    <s v="Friday"/>
    <s v="January"/>
    <x v="2"/>
    <x v="12"/>
    <x v="0"/>
    <x v="4"/>
    <s v="Malaysia"/>
    <s v="LEE Chong Wei"/>
    <x v="3"/>
    <s v="LEE Chong Wei"/>
    <x v="1"/>
    <s v="21-15"/>
    <s v="16-21"/>
    <s v="21-11"/>
  </r>
  <r>
    <s v="LCW051"/>
    <d v="2009-01-10T00:00:00"/>
    <s v="Saturday"/>
    <s v="January"/>
    <x v="2"/>
    <x v="12"/>
    <x v="0"/>
    <x v="2"/>
    <s v="Malaysia"/>
    <s v="LEE Chong Wei"/>
    <x v="16"/>
    <s v="LEE Chong Wei"/>
    <x v="1"/>
    <s v="24-26"/>
    <s v="21-17"/>
    <s v="21-13"/>
  </r>
  <r>
    <s v="LCW052"/>
    <d v="2009-01-11T00:00:00"/>
    <s v="Sunday"/>
    <s v="January"/>
    <x v="2"/>
    <x v="12"/>
    <x v="0"/>
    <x v="3"/>
    <s v="Malaysia"/>
    <s v="LEE Chong Wei"/>
    <x v="28"/>
    <s v="LEE Chong Wei"/>
    <x v="1"/>
    <s v="21-14"/>
    <s v=""/>
    <s v=""/>
  </r>
  <r>
    <s v="LCW053"/>
    <d v="2009-01-14T00:00:00"/>
    <s v="Wednesday"/>
    <s v="January"/>
    <x v="2"/>
    <x v="13"/>
    <x v="0"/>
    <x v="0"/>
    <s v="Korea"/>
    <s v="LEE Chong Wei"/>
    <x v="32"/>
    <s v="LEE Chong Wei"/>
    <x v="1"/>
    <s v="21-11"/>
    <s v="17-21"/>
    <s v="21-15"/>
  </r>
  <r>
    <s v="LCW054"/>
    <d v="2009-01-15T00:00:00"/>
    <s v="Thursday"/>
    <s v="January"/>
    <x v="2"/>
    <x v="13"/>
    <x v="0"/>
    <x v="1"/>
    <s v="Korea"/>
    <s v="LEE Chong Wei"/>
    <x v="22"/>
    <s v="LEE Chong Wei"/>
    <x v="1"/>
    <s v="21-14"/>
    <s v=""/>
    <s v=""/>
  </r>
  <r>
    <s v="LCW055"/>
    <d v="2009-01-16T00:00:00"/>
    <s v="Friday"/>
    <s v="January"/>
    <x v="2"/>
    <x v="13"/>
    <x v="0"/>
    <x v="4"/>
    <s v="Korea"/>
    <s v="LEE Chong Wei"/>
    <x v="28"/>
    <s v="LEE Chong Wei"/>
    <x v="1"/>
    <s v="18-21"/>
    <s v="21-7"/>
    <s v="21-16"/>
  </r>
  <r>
    <s v="LCW056"/>
    <d v="2009-01-17T00:00:00"/>
    <s v="Saturday"/>
    <s v="January"/>
    <x v="2"/>
    <x v="13"/>
    <x v="0"/>
    <x v="2"/>
    <s v="Korea"/>
    <s v="LEE Chong Wei"/>
    <x v="10"/>
    <s v="LEE Chong Wei"/>
    <x v="1"/>
    <s v="21-17"/>
    <s v=""/>
    <s v=""/>
  </r>
  <r>
    <s v="LCW057"/>
    <d v="2009-01-18T00:00:00"/>
    <s v="Sunday"/>
    <s v="January"/>
    <x v="2"/>
    <x v="13"/>
    <x v="0"/>
    <x v="3"/>
    <s v="Korea"/>
    <s v="LEE Chong Wei"/>
    <x v="16"/>
    <s v="Peter Hoeg GADE"/>
    <x v="0"/>
    <s v="18-21"/>
    <s v="21-10"/>
    <s v="17-21"/>
  </r>
  <r>
    <s v="LCW058"/>
    <d v="2009-03-04T00:00:00"/>
    <s v="Wednesday"/>
    <s v="March"/>
    <x v="2"/>
    <x v="14"/>
    <x v="0"/>
    <x v="0"/>
    <s v="England"/>
    <s v="LEE Chong Wei"/>
    <x v="26"/>
    <s v="LEE Chong Wei"/>
    <x v="1"/>
    <s v="19-21"/>
    <s v="21-16"/>
    <s v="21-11"/>
  </r>
  <r>
    <s v="LCW059"/>
    <d v="2009-03-05T00:00:00"/>
    <s v="Thursday"/>
    <s v="March"/>
    <x v="2"/>
    <x v="14"/>
    <x v="0"/>
    <x v="1"/>
    <s v="England"/>
    <s v="LEE Chong Wei"/>
    <x v="33"/>
    <s v="LEE Chong Wei"/>
    <x v="1"/>
    <s v="21-18"/>
    <s v=""/>
    <s v=""/>
  </r>
  <r>
    <s v="LCW060"/>
    <d v="2009-03-06T00:00:00"/>
    <s v="Friday"/>
    <s v="March"/>
    <x v="2"/>
    <x v="14"/>
    <x v="0"/>
    <x v="4"/>
    <s v="England"/>
    <s v="LEE Chong Wei"/>
    <x v="34"/>
    <s v="LEE Chong Wei"/>
    <x v="1"/>
    <s v="21-9"/>
    <s v=""/>
    <s v=""/>
  </r>
  <r>
    <s v="LCW061"/>
    <d v="2009-03-07T00:00:00"/>
    <s v="Saturday"/>
    <s v="March"/>
    <x v="2"/>
    <x v="14"/>
    <x v="0"/>
    <x v="2"/>
    <s v="England"/>
    <s v="LEE Chong Wei"/>
    <x v="8"/>
    <s v="LEE Chong Wei"/>
    <x v="1"/>
    <s v="21-8"/>
    <s v=""/>
    <s v=""/>
  </r>
  <r>
    <s v="LCW062"/>
    <d v="2009-03-08T00:00:00"/>
    <s v="Sunday"/>
    <s v="March"/>
    <x v="2"/>
    <x v="14"/>
    <x v="0"/>
    <x v="3"/>
    <s v="England"/>
    <s v="LEE Chong Wei"/>
    <x v="29"/>
    <s v="LIN Dan"/>
    <x v="0"/>
    <s v="19-21"/>
    <s v=""/>
    <s v=""/>
  </r>
  <r>
    <s v="LCW063"/>
    <d v="2009-03-11T00:00:00"/>
    <s v="Wednesday"/>
    <s v="March"/>
    <x v="2"/>
    <x v="15"/>
    <x v="0"/>
    <x v="0"/>
    <s v="Switzerland"/>
    <s v="LEE Chong Wei"/>
    <x v="35"/>
    <s v="LEE Chong Wei"/>
    <x v="1"/>
    <s v="21-18"/>
    <s v=""/>
    <s v=""/>
  </r>
  <r>
    <s v="LCW064"/>
    <d v="2009-03-12T00:00:00"/>
    <s v="Thursday"/>
    <s v="March"/>
    <x v="2"/>
    <x v="15"/>
    <x v="0"/>
    <x v="1"/>
    <s v="Switzerland"/>
    <s v="LEE Chong Wei"/>
    <x v="36"/>
    <s v="LEE Chong Wei"/>
    <x v="1"/>
    <s v="21-8"/>
    <s v=""/>
    <s v=""/>
  </r>
  <r>
    <s v="LCW065"/>
    <d v="2009-03-13T00:00:00"/>
    <s v="Friday"/>
    <s v="March"/>
    <x v="2"/>
    <x v="15"/>
    <x v="0"/>
    <x v="4"/>
    <s v="Switzerland"/>
    <s v="LEE Chong Wei"/>
    <x v="8"/>
    <s v="LEE Chong Wei"/>
    <x v="1"/>
    <s v="21-23"/>
    <s v="21-12"/>
    <s v="21-19"/>
  </r>
  <r>
    <s v="LCW066"/>
    <d v="2009-03-14T00:00:00"/>
    <s v="Saturday"/>
    <s v="March"/>
    <x v="2"/>
    <x v="15"/>
    <x v="0"/>
    <x v="2"/>
    <s v="Switzerland"/>
    <s v="LEE Chong Wei"/>
    <x v="37"/>
    <s v="LEE Chong Wei"/>
    <x v="1"/>
    <s v="21-12"/>
    <s v="20-22"/>
    <s v="21-9"/>
  </r>
  <r>
    <s v="LCW067"/>
    <d v="2009-03-15T00:00:00"/>
    <s v="Sunday"/>
    <s v="March"/>
    <x v="2"/>
    <x v="15"/>
    <x v="0"/>
    <x v="3"/>
    <s v="Switzerland"/>
    <s v="LEE Chong Wei"/>
    <x v="29"/>
    <s v="LEE Chong Wei"/>
    <x v="1"/>
    <s v="21-16"/>
    <s v=""/>
    <s v=""/>
  </r>
  <r>
    <s v="LCW068"/>
    <d v="2009-03-25T00:00:00"/>
    <s v="Wednesday"/>
    <s v="March"/>
    <x v="2"/>
    <x v="16"/>
    <x v="1"/>
    <x v="5"/>
    <s v="Hyderabad, India"/>
    <s v="LEE Chong Wei"/>
    <x v="38"/>
    <s v="CHEN Long"/>
    <x v="0"/>
    <s v="21-7"/>
    <s v="16-21"/>
    <s v="18-21"/>
  </r>
  <r>
    <s v="LCW069"/>
    <d v="2009-06-10T00:00:00"/>
    <s v="Wednesday"/>
    <s v="June"/>
    <x v="2"/>
    <x v="17"/>
    <x v="0"/>
    <x v="0"/>
    <s v="Singapore, Singapore"/>
    <s v="LEE Chong Wei"/>
    <x v="6"/>
    <s v="LEE Chong Wei"/>
    <x v="1"/>
    <s v="21-11"/>
    <s v=""/>
    <s v=""/>
  </r>
  <r>
    <s v="LCW070"/>
    <d v="2009-06-11T00:00:00"/>
    <s v="Thursday"/>
    <s v="June"/>
    <x v="2"/>
    <x v="17"/>
    <x v="0"/>
    <x v="1"/>
    <s v="Singapore, Singapore"/>
    <s v="LEE Chong Wei"/>
    <x v="31"/>
    <s v="Tien Minh NGUYEN"/>
    <x v="0"/>
    <s v="22-24"/>
    <s v="22-20"/>
    <s v="19-21"/>
  </r>
  <r>
    <s v="LCW071"/>
    <d v="2009-06-17T00:00:00"/>
    <s v="Wednesday"/>
    <s v="June"/>
    <x v="2"/>
    <x v="18"/>
    <x v="0"/>
    <x v="0"/>
    <s v="Jakarta, Indonesia"/>
    <s v="LEE Chong Wei"/>
    <x v="33"/>
    <s v="LEE Chong Wei"/>
    <x v="1"/>
    <s v="21-17"/>
    <s v=""/>
    <s v=""/>
  </r>
  <r>
    <s v="LCW072"/>
    <d v="2009-06-18T00:00:00"/>
    <s v="Thursday"/>
    <s v="June"/>
    <x v="2"/>
    <x v="18"/>
    <x v="0"/>
    <x v="1"/>
    <s v="Jakarta, Indonesia"/>
    <s v="LEE Chong Wei"/>
    <x v="1"/>
    <s v="LEE Chong Wei"/>
    <x v="1"/>
    <s v="21-7"/>
    <s v="19-21"/>
    <s v="21-7"/>
  </r>
  <r>
    <s v="LCW073"/>
    <d v="2009-06-19T00:00:00"/>
    <s v="Friday"/>
    <s v="June"/>
    <x v="2"/>
    <x v="18"/>
    <x v="0"/>
    <x v="4"/>
    <s v="Jakarta, Indonesia"/>
    <s v="LEE Chong Wei"/>
    <x v="28"/>
    <s v="LEE Chong Wei"/>
    <x v="1"/>
    <s v="21-9"/>
    <s v=""/>
    <s v=""/>
  </r>
  <r>
    <s v="LCW074"/>
    <d v="2009-06-20T00:00:00"/>
    <s v="Saturday"/>
    <s v="June"/>
    <x v="2"/>
    <x v="18"/>
    <x v="0"/>
    <x v="2"/>
    <s v="Jakarta, Indonesia"/>
    <s v="LEE Chong Wei"/>
    <x v="9"/>
    <s v="LEE Chong Wei"/>
    <x v="1"/>
    <s v="21-15"/>
    <s v=""/>
    <s v=""/>
  </r>
  <r>
    <s v="LCW075"/>
    <d v="2009-06-21T00:00:00"/>
    <s v="Sunday"/>
    <s v="June"/>
    <x v="2"/>
    <x v="18"/>
    <x v="0"/>
    <x v="3"/>
    <s v="Jakarta, Indonesia"/>
    <s v="LEE Chong Wei"/>
    <x v="8"/>
    <s v="LEE Chong Wei"/>
    <x v="1"/>
    <s v="21-9"/>
    <s v=""/>
    <s v=""/>
  </r>
  <r>
    <s v="LCW076"/>
    <d v="2009-06-24T00:00:00"/>
    <s v="Wednesday"/>
    <s v="June"/>
    <x v="2"/>
    <x v="19"/>
    <x v="1"/>
    <x v="5"/>
    <s v="JOHOR BAHRU, Malaysia"/>
    <s v="LEE Chong Wei"/>
    <x v="39"/>
    <s v="LEE Chong Wei"/>
    <x v="1"/>
    <s v="21-12"/>
    <s v=""/>
    <s v=""/>
  </r>
  <r>
    <s v="LCW077"/>
    <d v="2009-06-24T00:00:00"/>
    <s v="Wednesday"/>
    <s v="June"/>
    <x v="2"/>
    <x v="19"/>
    <x v="1"/>
    <x v="0"/>
    <s v="JOHOR BAHRU, Malaysia"/>
    <s v="LEE Chong Wei"/>
    <x v="40"/>
    <s v="LEE Chong Wei"/>
    <x v="1"/>
    <s v="21-9"/>
    <s v=""/>
    <s v=""/>
  </r>
  <r>
    <s v="LCW078"/>
    <d v="2009-06-25T00:00:00"/>
    <s v="Thursday"/>
    <s v="June"/>
    <x v="2"/>
    <x v="19"/>
    <x v="1"/>
    <x v="1"/>
    <s v="JOHOR BAHRU, Malaysia"/>
    <s v="LEE Chong Wei"/>
    <x v="41"/>
    <s v="LEE Chong Wei"/>
    <x v="1"/>
    <s v="21-18"/>
    <s v=""/>
    <s v=""/>
  </r>
  <r>
    <s v="LCW079"/>
    <d v="2009-06-26T00:00:00"/>
    <s v="Friday"/>
    <s v="June"/>
    <x v="2"/>
    <x v="19"/>
    <x v="1"/>
    <x v="4"/>
    <s v="JOHOR BAHRU, Malaysia"/>
    <s v="LEE Chong Wei"/>
    <x v="35"/>
    <s v="LEE Chong Wei"/>
    <x v="1"/>
    <s v="21-9"/>
    <s v=""/>
    <s v=""/>
  </r>
  <r>
    <s v="LCW080"/>
    <d v="2009-06-27T00:00:00"/>
    <s v="Saturday"/>
    <s v="June"/>
    <x v="2"/>
    <x v="19"/>
    <x v="1"/>
    <x v="2"/>
    <s v="JOHOR BAHRU, Malaysia"/>
    <s v="LEE Chong Wei"/>
    <x v="42"/>
    <s v="LEE Chong Wei"/>
    <x v="1"/>
    <s v="21-9"/>
    <s v=""/>
    <s v=""/>
  </r>
  <r>
    <s v="LCW081"/>
    <d v="2009-06-28T00:00:00"/>
    <s v="Sunday"/>
    <s v="June"/>
    <x v="2"/>
    <x v="19"/>
    <x v="1"/>
    <x v="3"/>
    <s v="JOHOR BAHRU, Malaysia"/>
    <s v="LEE Chong Wei"/>
    <x v="38"/>
    <s v="LEE Chong Wei"/>
    <x v="1"/>
    <s v="21-16"/>
    <s v=""/>
    <s v=""/>
  </r>
  <r>
    <s v="LCW082"/>
    <d v="2009-08-18T00:00:00"/>
    <s v="Tuesday"/>
    <s v="August"/>
    <x v="2"/>
    <x v="20"/>
    <x v="1"/>
    <x v="5"/>
    <s v="Macau, Macau China"/>
    <s v="LEE Chong Wei"/>
    <x v="43"/>
    <s v="LEE Chong Wei"/>
    <x v="1"/>
    <s v="21-9"/>
    <s v=""/>
    <s v=""/>
  </r>
  <r>
    <s v="LCW083"/>
    <d v="2009-08-19T00:00:00"/>
    <s v="Wednesday"/>
    <s v="August"/>
    <x v="2"/>
    <x v="20"/>
    <x v="1"/>
    <x v="0"/>
    <s v="Macau, Macau China"/>
    <s v="LEE Chong Wei"/>
    <x v="44"/>
    <s v="LEE Chong Wei"/>
    <x v="1"/>
    <s v="21-17"/>
    <s v=""/>
    <s v=""/>
  </r>
  <r>
    <s v="LCW084"/>
    <d v="2009-08-20T00:00:00"/>
    <s v="Thursday"/>
    <s v="August"/>
    <x v="2"/>
    <x v="20"/>
    <x v="1"/>
    <x v="1"/>
    <s v="Macau, Macau China"/>
    <s v="LEE Chong Wei"/>
    <x v="45"/>
    <s v="LEE Chong Wei"/>
    <x v="1"/>
    <s v="21-9"/>
    <s v=""/>
    <s v=""/>
  </r>
  <r>
    <s v="LCW085"/>
    <d v="2009-08-21T00:00:00"/>
    <s v="Friday"/>
    <s v="August"/>
    <x v="2"/>
    <x v="20"/>
    <x v="1"/>
    <x v="4"/>
    <s v="Macau, Macau China"/>
    <s v="LEE Chong Wei"/>
    <x v="46"/>
    <s v="LEE Chong Wei"/>
    <x v="1"/>
    <s v="21-10"/>
    <s v=""/>
    <s v=""/>
  </r>
  <r>
    <s v="LCW086"/>
    <d v="2009-08-22T00:00:00"/>
    <s v="Saturday"/>
    <s v="August"/>
    <x v="2"/>
    <x v="20"/>
    <x v="1"/>
    <x v="2"/>
    <s v="Macau, Macau China"/>
    <s v="LEE Chong Wei"/>
    <x v="8"/>
    <s v="LEE Chong Wei"/>
    <x v="1"/>
    <s v="21-18"/>
    <s v=""/>
    <s v=""/>
  </r>
  <r>
    <s v="LCW087"/>
    <d v="2009-08-23T00:00:00"/>
    <s v="Sunday"/>
    <s v="August"/>
    <x v="2"/>
    <x v="20"/>
    <x v="1"/>
    <x v="3"/>
    <s v="Macau, Macau China"/>
    <s v="LEE Chong Wei"/>
    <x v="14"/>
    <s v="LEE Chong Wei"/>
    <x v="1"/>
    <s v="21-15"/>
    <s v=""/>
    <s v=""/>
  </r>
  <r>
    <s v="LCW088"/>
    <d v="2009-09-16T00:00:00"/>
    <s v="Wednesday"/>
    <s v="September"/>
    <x v="2"/>
    <x v="21"/>
    <x v="0"/>
    <x v="0"/>
    <s v="Changzhou, China"/>
    <s v="LEE Chong Wei"/>
    <x v="47"/>
    <s v="LEE Chong Wei"/>
    <x v="1"/>
    <s v="21-8"/>
    <s v=""/>
    <s v=""/>
  </r>
  <r>
    <s v="LCW089"/>
    <d v="2009-09-17T00:00:00"/>
    <s v="Thursday"/>
    <s v="September"/>
    <x v="2"/>
    <x v="21"/>
    <x v="0"/>
    <x v="1"/>
    <s v="Changzhou, China"/>
    <s v="LEE Chong Wei"/>
    <x v="48"/>
    <s v="LEE Chong Wei"/>
    <x v="1"/>
    <s v="21-15"/>
    <s v=""/>
    <s v=""/>
  </r>
  <r>
    <s v="LCW090"/>
    <d v="2009-09-18T00:00:00"/>
    <s v="Friday"/>
    <s v="September"/>
    <x v="2"/>
    <x v="21"/>
    <x v="0"/>
    <x v="4"/>
    <s v="Changzhou, China"/>
    <s v="LEE Chong Wei"/>
    <x v="49"/>
    <s v="LEE Chong Wei"/>
    <x v="1"/>
    <s v="21-19"/>
    <s v=""/>
    <s v=""/>
  </r>
  <r>
    <s v="LCW091"/>
    <d v="2009-09-19T00:00:00"/>
    <s v="Saturday"/>
    <s v="September"/>
    <x v="2"/>
    <x v="21"/>
    <x v="0"/>
    <x v="2"/>
    <s v="Changzhou, China"/>
    <s v="LEE Chong Wei"/>
    <x v="29"/>
    <s v="LIN Dan"/>
    <x v="0"/>
    <s v="20-22"/>
    <s v="21-15"/>
    <s v="7-21"/>
  </r>
  <r>
    <s v="LCW092"/>
    <d v="2009-09-23T00:00:00"/>
    <s v="Wednesday"/>
    <s v="September"/>
    <x v="2"/>
    <x v="22"/>
    <x v="0"/>
    <x v="0"/>
    <s v="Tokyo, Japan"/>
    <s v="LEE Chong Wei"/>
    <x v="36"/>
    <s v="LEE Chong Wei"/>
    <x v="1"/>
    <s v="21-9"/>
    <s v=""/>
    <s v=""/>
  </r>
  <r>
    <s v="LCW093"/>
    <d v="2009-09-24T00:00:00"/>
    <s v="Thursday"/>
    <s v="September"/>
    <x v="2"/>
    <x v="22"/>
    <x v="0"/>
    <x v="1"/>
    <s v="Tokyo, Japan"/>
    <s v="LEE Chong Wei"/>
    <x v="3"/>
    <s v="Simon SANTOSO"/>
    <x v="0"/>
    <s v="21-19"/>
    <s v="15-21"/>
    <s v="19-21"/>
  </r>
  <r>
    <s v="LCW094"/>
    <d v="2009-11-11T00:00:00"/>
    <s v="Wednesday"/>
    <s v="November"/>
    <x v="2"/>
    <x v="23"/>
    <x v="0"/>
    <x v="0"/>
    <s v="Hong Kong, Hong Kong China"/>
    <s v="LEE Chong Wei"/>
    <x v="27"/>
    <s v="LEE Chong Wei"/>
    <x v="1"/>
    <s v="21-9"/>
    <s v=""/>
    <s v=""/>
  </r>
  <r>
    <s v="LCW095"/>
    <d v="2009-11-12T00:00:00"/>
    <s v="Thursday"/>
    <s v="November"/>
    <x v="2"/>
    <x v="23"/>
    <x v="0"/>
    <x v="1"/>
    <s v="Hong Kong, Hong Kong China"/>
    <s v="LEE Chong Wei"/>
    <x v="49"/>
    <s v="LEE Chong Wei"/>
    <x v="1"/>
    <s v="21-16"/>
    <s v=""/>
    <s v=""/>
  </r>
  <r>
    <s v="LCW096"/>
    <d v="2009-11-13T00:00:00"/>
    <s v="Friday"/>
    <s v="November"/>
    <x v="2"/>
    <x v="23"/>
    <x v="0"/>
    <x v="4"/>
    <s v="Hong Kong, Hong Kong China"/>
    <s v="LEE Chong Wei"/>
    <x v="1"/>
    <s v="LEE Chong Wei"/>
    <x v="1"/>
    <s v="10-21"/>
    <s v="21-15"/>
    <s v="24-22"/>
  </r>
  <r>
    <s v="LCW097"/>
    <d v="2009-11-14T00:00:00"/>
    <s v="Saturday"/>
    <s v="November"/>
    <x v="2"/>
    <x v="23"/>
    <x v="0"/>
    <x v="2"/>
    <s v="Hong Kong, Hong Kong China"/>
    <s v="LEE Chong Wei"/>
    <x v="5"/>
    <s v="LEE Chong Wei"/>
    <x v="1"/>
    <s v="21-17"/>
    <s v=""/>
    <s v=""/>
  </r>
  <r>
    <s v="LCW098"/>
    <d v="2009-11-15T00:00:00"/>
    <s v="Sunday"/>
    <s v="November"/>
    <x v="2"/>
    <x v="23"/>
    <x v="0"/>
    <x v="3"/>
    <s v="Hong Kong, Hong Kong China"/>
    <s v="LEE Chong Wei"/>
    <x v="16"/>
    <s v="LEE Chong Wei"/>
    <x v="1"/>
    <s v="21-13"/>
    <s v="13-21"/>
    <s v="21-16"/>
  </r>
  <r>
    <s v="LCW099"/>
    <d v="2009-11-18T00:00:00"/>
    <s v="Wednesday"/>
    <s v="November"/>
    <x v="2"/>
    <x v="24"/>
    <x v="0"/>
    <x v="0"/>
    <s v="Shanghai, China"/>
    <s v="LEE Chong Wei"/>
    <x v="37"/>
    <s v="Jan O JORGENSEN"/>
    <x v="0"/>
    <s v="6-21"/>
    <s v="21-13"/>
    <s v="17-21"/>
  </r>
  <r>
    <s v="LCW100"/>
    <d v="2009-12-02T00:00:00"/>
    <s v="Wednesday"/>
    <s v="December"/>
    <x v="2"/>
    <x v="25"/>
    <x v="2"/>
    <x v="8"/>
    <m/>
    <s v="LEE Chong Wei"/>
    <x v="50"/>
    <s v="LEE Chong Wei"/>
    <x v="1"/>
    <s v="21-11"/>
    <s v=""/>
    <s v=""/>
  </r>
  <r>
    <s v="LCW101"/>
    <d v="2009-12-03T00:00:00"/>
    <s v="Thursday"/>
    <s v="December"/>
    <x v="2"/>
    <x v="25"/>
    <x v="2"/>
    <x v="7"/>
    <m/>
    <s v="LEE Chong Wei"/>
    <x v="8"/>
    <s v="LEE Chong Wei"/>
    <x v="1"/>
    <s v="21-6"/>
    <s v=""/>
    <s v=""/>
  </r>
  <r>
    <s v="LCW102"/>
    <d v="2009-12-04T00:00:00"/>
    <s v="Friday"/>
    <s v="December"/>
    <x v="2"/>
    <x v="25"/>
    <x v="2"/>
    <x v="6"/>
    <m/>
    <s v="LEE Chong Wei"/>
    <x v="5"/>
    <s v="LEE Chong Wei"/>
    <x v="1"/>
    <s v="21-13"/>
    <s v=""/>
    <s v=""/>
  </r>
  <r>
    <s v="LCW103"/>
    <d v="2009-12-05T00:00:00"/>
    <s v="Saturday"/>
    <s v="December"/>
    <x v="2"/>
    <x v="25"/>
    <x v="2"/>
    <x v="2"/>
    <m/>
    <s v="LEE Chong Wei"/>
    <x v="16"/>
    <s v="LEE Chong Wei"/>
    <x v="1"/>
    <s v="21-17"/>
    <s v=""/>
    <s v=""/>
  </r>
  <r>
    <s v="LCW104"/>
    <d v="2009-12-06T00:00:00"/>
    <s v="Sunday"/>
    <s v="December"/>
    <x v="2"/>
    <x v="25"/>
    <x v="2"/>
    <x v="3"/>
    <m/>
    <s v="LEE Chong Wei"/>
    <x v="28"/>
    <s v="LEE Chong Wei"/>
    <x v="1"/>
    <s v="21-17"/>
    <s v=""/>
    <s v=""/>
  </r>
  <r>
    <s v="LCW105"/>
    <d v="2010-01-13T00:00:00"/>
    <s v="Wednesday"/>
    <s v="January"/>
    <x v="3"/>
    <x v="26"/>
    <x v="0"/>
    <x v="0"/>
    <s v="Seoul, Korea"/>
    <s v="LEE Chong Wei"/>
    <x v="6"/>
    <s v="LEE Chong Wei"/>
    <x v="1"/>
    <s v="21-4"/>
    <s v=""/>
    <s v=""/>
  </r>
  <r>
    <s v="LCW106"/>
    <d v="2010-01-14T00:00:00"/>
    <s v="Thursday"/>
    <s v="January"/>
    <x v="3"/>
    <x v="26"/>
    <x v="0"/>
    <x v="1"/>
    <s v="Seoul, Korea"/>
    <s v="LEE Chong Wei"/>
    <x v="33"/>
    <s v="LEE Chong Wei"/>
    <x v="1"/>
    <s v="21-18"/>
    <s v=""/>
    <s v=""/>
  </r>
  <r>
    <s v="LCW107"/>
    <d v="2010-01-15T00:00:00"/>
    <s v="Friday"/>
    <s v="January"/>
    <x v="3"/>
    <x v="26"/>
    <x v="0"/>
    <x v="4"/>
    <s v="Seoul, Korea"/>
    <s v="LEE Chong Wei"/>
    <x v="36"/>
    <s v="LEE Chong Wei"/>
    <x v="1"/>
    <s v="21-14"/>
    <s v=""/>
    <s v=""/>
  </r>
  <r>
    <s v="LCW108"/>
    <d v="2010-01-16T00:00:00"/>
    <s v="Saturday"/>
    <s v="January"/>
    <x v="3"/>
    <x v="26"/>
    <x v="0"/>
    <x v="2"/>
    <s v="Seoul, Korea"/>
    <s v="LEE Chong Wei"/>
    <x v="9"/>
    <s v="LEE Chong Wei"/>
    <x v="1"/>
    <s v="21-11"/>
    <s v=""/>
    <s v=""/>
  </r>
  <r>
    <s v="LCW109"/>
    <d v="2010-01-17T00:00:00"/>
    <s v="Sunday"/>
    <s v="January"/>
    <x v="3"/>
    <x v="26"/>
    <x v="0"/>
    <x v="3"/>
    <s v="Seoul, Korea"/>
    <s v="LEE Chong Wei"/>
    <x v="16"/>
    <s v="LEE Chong Wei"/>
    <x v="1"/>
    <s v="21-12"/>
    <s v=""/>
    <s v=""/>
  </r>
  <r>
    <s v="LCW110"/>
    <d v="2010-01-20T00:00:00"/>
    <s v="Wednesday"/>
    <s v="January"/>
    <x v="3"/>
    <x v="27"/>
    <x v="0"/>
    <x v="0"/>
    <s v="Bukit Jalil, Malaysia"/>
    <s v="LEE Chong Wei"/>
    <x v="48"/>
    <s v="LEE Chong Wei"/>
    <x v="1"/>
    <s v="21-14"/>
    <s v=""/>
    <s v=""/>
  </r>
  <r>
    <s v="LCW111"/>
    <d v="2010-01-21T00:00:00"/>
    <s v="Thursday"/>
    <s v="January"/>
    <x v="3"/>
    <x v="27"/>
    <x v="0"/>
    <x v="1"/>
    <s v="Bukit Jalil, Malaysia"/>
    <s v="LEE Chong Wei"/>
    <x v="49"/>
    <s v="LEE Chong Wei"/>
    <x v="1"/>
    <s v="21-23"/>
    <s v="21-17"/>
    <s v="21-14"/>
  </r>
  <r>
    <s v="LCW112"/>
    <d v="2010-01-22T00:00:00"/>
    <s v="Friday"/>
    <s v="January"/>
    <x v="3"/>
    <x v="27"/>
    <x v="0"/>
    <x v="4"/>
    <s v="Bukit Jalil, Malaysia"/>
    <s v="LEE Chong Wei"/>
    <x v="9"/>
    <s v="LEE Chong Wei"/>
    <x v="1"/>
    <s v="21-14"/>
    <s v="16-21"/>
    <s v="21-15"/>
  </r>
  <r>
    <s v="LCW113"/>
    <d v="2010-01-23T00:00:00"/>
    <s v="Saturday"/>
    <s v="January"/>
    <x v="3"/>
    <x v="27"/>
    <x v="0"/>
    <x v="2"/>
    <s v="Bukit Jalil, Malaysia"/>
    <s v="LEE Chong Wei"/>
    <x v="31"/>
    <s v="LEE Chong Wei"/>
    <x v="1"/>
    <s v="22-20"/>
    <s v=""/>
    <s v=""/>
  </r>
  <r>
    <s v="LCW114"/>
    <d v="2010-01-24T00:00:00"/>
    <s v="Sunday"/>
    <s v="January"/>
    <x v="3"/>
    <x v="27"/>
    <x v="0"/>
    <x v="3"/>
    <s v="Bukit Jalil, Malaysia"/>
    <s v="LEE Chong Wei"/>
    <x v="36"/>
    <s v="LEE Chong Wei"/>
    <x v="1"/>
    <s v="21-13"/>
    <s v=""/>
    <s v=""/>
  </r>
  <r>
    <s v="LCW115"/>
    <d v="2010-03-10T00:00:00"/>
    <s v="Wednesday"/>
    <s v="March"/>
    <x v="3"/>
    <x v="28"/>
    <x v="0"/>
    <x v="0"/>
    <s v="Birmingham, England"/>
    <s v="LEE Chong Wei"/>
    <x v="46"/>
    <s v="LEE Chong Wei"/>
    <x v="1"/>
    <s v="21-15"/>
    <s v=""/>
    <s v=""/>
  </r>
  <r>
    <s v="LCW116"/>
    <d v="2010-03-11T00:00:00"/>
    <s v="Thursday"/>
    <s v="March"/>
    <x v="3"/>
    <x v="28"/>
    <x v="0"/>
    <x v="1"/>
    <s v="Birmingham, England"/>
    <s v="LEE Chong Wei"/>
    <x v="19"/>
    <s v="LEE Chong Wei"/>
    <x v="1"/>
    <s v="21-11"/>
    <s v=""/>
    <s v=""/>
  </r>
  <r>
    <s v="LCW117"/>
    <d v="2010-03-12T00:00:00"/>
    <s v="Friday"/>
    <s v="March"/>
    <x v="3"/>
    <x v="28"/>
    <x v="0"/>
    <x v="4"/>
    <s v="Birmingham, England"/>
    <s v="LEE Chong Wei"/>
    <x v="51"/>
    <s v="LEE Chong Wei"/>
    <x v="1"/>
    <s v="14-21"/>
    <s v="21-14"/>
    <s v="21-14"/>
  </r>
  <r>
    <s v="LCW118"/>
    <d v="2010-03-13T00:00:00"/>
    <s v="Saturday"/>
    <s v="March"/>
    <x v="3"/>
    <x v="28"/>
    <x v="0"/>
    <x v="2"/>
    <s v="Birmingham, England"/>
    <s v="LEE Chong Wei"/>
    <x v="16"/>
    <s v="LEE Chong Wei"/>
    <x v="1"/>
    <s v="21-17"/>
    <s v=""/>
    <s v=""/>
  </r>
  <r>
    <s v="LCW119"/>
    <d v="2010-03-14T00:00:00"/>
    <s v="Sunday"/>
    <s v="March"/>
    <x v="3"/>
    <x v="28"/>
    <x v="0"/>
    <x v="3"/>
    <s v="Birmingham, England"/>
    <s v="LEE Chong Wei"/>
    <x v="35"/>
    <s v="LEE Chong Wei"/>
    <x v="1"/>
    <s v="21-19"/>
    <s v=""/>
    <s v=""/>
  </r>
  <r>
    <s v="LCW120"/>
    <d v="2010-06-16T00:00:00"/>
    <s v="Wednesday"/>
    <s v="June"/>
    <x v="3"/>
    <x v="29"/>
    <x v="0"/>
    <x v="0"/>
    <s v="Singapore, Singapore"/>
    <s v="LEE Chong Wei"/>
    <x v="52"/>
    <s v="LEE Chong Wei"/>
    <x v="1"/>
    <s v="21-9"/>
    <s v="15-21"/>
    <s v="21-15"/>
  </r>
  <r>
    <s v="LCW121"/>
    <d v="2010-06-17T00:00:00"/>
    <s v="Thursday"/>
    <s v="June"/>
    <x v="3"/>
    <x v="29"/>
    <x v="0"/>
    <x v="1"/>
    <s v="Singapore, Singapore"/>
    <s v="LEE Chong Wei"/>
    <x v="53"/>
    <s v="LEE Chong Wei"/>
    <x v="1"/>
    <s v="21-13"/>
    <s v="19-21"/>
    <s v="21-16"/>
  </r>
  <r>
    <s v="LCW122"/>
    <d v="2010-06-18T00:00:00"/>
    <s v="Friday"/>
    <s v="June"/>
    <x v="3"/>
    <x v="29"/>
    <x v="0"/>
    <x v="4"/>
    <s v="Singapore, Singapore"/>
    <s v="LEE Chong Wei"/>
    <x v="19"/>
    <s v="Sony Dwi KUNCORO"/>
    <x v="0"/>
    <s v="21-7"/>
    <s v="19-21"/>
    <s v="15-21"/>
  </r>
  <r>
    <s v="LCW123"/>
    <d v="2010-06-23T00:00:00"/>
    <s v="Wednesday"/>
    <s v="June"/>
    <x v="3"/>
    <x v="30"/>
    <x v="0"/>
    <x v="0"/>
    <s v="Jakarta, Indonesia"/>
    <s v="LEE Chong Wei"/>
    <x v="53"/>
    <s v="LEE Chong Wei"/>
    <x v="1"/>
    <s v="21-10"/>
    <s v=""/>
    <s v=""/>
  </r>
  <r>
    <s v="LCW124"/>
    <d v="2010-06-24T00:00:00"/>
    <s v="Thursday"/>
    <s v="June"/>
    <x v="3"/>
    <x v="30"/>
    <x v="0"/>
    <x v="1"/>
    <s v="Jakarta, Indonesia"/>
    <s v="LEE Chong Wei"/>
    <x v="33"/>
    <s v="LEE Chong Wei"/>
    <x v="1"/>
    <s v="21-9"/>
    <s v=""/>
    <s v=""/>
  </r>
  <r>
    <s v="LCW125"/>
    <d v="2010-06-25T00:00:00"/>
    <s v="Friday"/>
    <s v="June"/>
    <x v="3"/>
    <x v="30"/>
    <x v="0"/>
    <x v="4"/>
    <s v="Jakarta, Indonesia"/>
    <s v="LEE Chong Wei"/>
    <x v="35"/>
    <s v="LEE Chong Wei"/>
    <x v="1"/>
    <s v="21-12"/>
    <s v="8-21"/>
    <s v="21-12"/>
  </r>
  <r>
    <s v="LCW126"/>
    <d v="2010-06-26T00:00:00"/>
    <s v="Saturday"/>
    <s v="June"/>
    <x v="3"/>
    <x v="30"/>
    <x v="0"/>
    <x v="2"/>
    <s v="Jakarta, Indonesia"/>
    <s v="LEE Chong Wei"/>
    <x v="19"/>
    <s v="LEE Chong Wei"/>
    <x v="1"/>
    <s v="21-13"/>
    <s v=""/>
    <s v=""/>
  </r>
  <r>
    <s v="LCW127"/>
    <d v="2010-06-27T00:00:00"/>
    <s v="Sunday"/>
    <s v="June"/>
    <x v="3"/>
    <x v="30"/>
    <x v="0"/>
    <x v="3"/>
    <s v="Jakarta, Indonesia"/>
    <s v="LEE Chong Wei"/>
    <x v="8"/>
    <s v="LEE Chong Wei"/>
    <x v="1"/>
    <s v="21-19"/>
    <s v=""/>
    <s v=""/>
  </r>
  <r>
    <s v="LCW128"/>
    <d v="2010-07-07T00:00:00"/>
    <s v="Wednesday"/>
    <s v="July"/>
    <x v="3"/>
    <x v="31"/>
    <x v="1"/>
    <x v="5"/>
    <s v="Johor Bharu, Malaysia"/>
    <s v="LEE Chong Wei"/>
    <x v="54"/>
    <s v="LEE Chong Wei"/>
    <x v="1"/>
    <s v="21-8"/>
    <s v=""/>
    <s v=""/>
  </r>
  <r>
    <s v="LCW129"/>
    <d v="2010-07-07T00:00:00"/>
    <s v="Wednesday"/>
    <s v="July"/>
    <x v="3"/>
    <x v="31"/>
    <x v="1"/>
    <x v="0"/>
    <s v="Johor Bharu, Malaysia"/>
    <s v="LEE Chong Wei"/>
    <x v="55"/>
    <s v="LEE Chong Wei"/>
    <x v="1"/>
    <s v="21-16"/>
    <s v=""/>
    <s v=""/>
  </r>
  <r>
    <s v="LCW130"/>
    <d v="2010-07-08T00:00:00"/>
    <s v="Thursday"/>
    <s v="July"/>
    <x v="3"/>
    <x v="31"/>
    <x v="1"/>
    <x v="1"/>
    <s v="Johor Bharu, Malaysia"/>
    <s v="LEE Chong Wei"/>
    <x v="56"/>
    <s v="LEE Chong Wei"/>
    <x v="1"/>
    <s v="21-18"/>
    <s v=""/>
    <s v=""/>
  </r>
  <r>
    <s v="LCW131"/>
    <d v="2010-07-09T00:00:00"/>
    <s v="Friday"/>
    <s v="July"/>
    <x v="3"/>
    <x v="31"/>
    <x v="1"/>
    <x v="4"/>
    <s v="Johor Bharu, Malaysia"/>
    <s v="LEE Chong Wei"/>
    <x v="30"/>
    <s v="LEE Chong Wei"/>
    <x v="1"/>
    <s v="21-11"/>
    <s v=""/>
    <s v=""/>
  </r>
  <r>
    <s v="LCW132"/>
    <d v="2010-07-10T00:00:00"/>
    <s v="Saturday"/>
    <s v="July"/>
    <x v="3"/>
    <x v="31"/>
    <x v="1"/>
    <x v="2"/>
    <s v="Johor Bharu, Malaysia"/>
    <s v="LEE Chong Wei"/>
    <x v="57"/>
    <s v="LEE Chong Wei"/>
    <x v="1"/>
    <s v="21-16"/>
    <s v=""/>
    <s v=""/>
  </r>
  <r>
    <s v="LCW133"/>
    <d v="2010-07-11T00:00:00"/>
    <s v="Sunday"/>
    <s v="July"/>
    <x v="3"/>
    <x v="31"/>
    <x v="1"/>
    <x v="3"/>
    <s v="Johor Bharu, Malaysia"/>
    <s v="LEE Chong Wei"/>
    <x v="14"/>
    <s v="LEE Chong Wei"/>
    <x v="1"/>
    <s v="21-8"/>
    <s v="14-21"/>
    <s v="21-15"/>
  </r>
  <r>
    <s v="LCW134"/>
    <d v="2010-07-27T00:00:00"/>
    <s v="Tuesday"/>
    <s v="July"/>
    <x v="3"/>
    <x v="32"/>
    <x v="1"/>
    <x v="5"/>
    <s v="Taipa, Macau China"/>
    <s v="LEE Chong Wei"/>
    <x v="58"/>
    <s v="LEE Chong Wei"/>
    <x v="1"/>
    <s v="21-9"/>
    <s v=""/>
    <s v=""/>
  </r>
  <r>
    <s v="LCW135"/>
    <d v="2010-07-28T00:00:00"/>
    <s v="Wednesday"/>
    <s v="July"/>
    <x v="3"/>
    <x v="32"/>
    <x v="1"/>
    <x v="0"/>
    <s v="Taipa, Macau China"/>
    <s v="LEE Chong Wei"/>
    <x v="59"/>
    <s v="LEE Chong Wei"/>
    <x v="1"/>
    <s v="21-15"/>
    <s v=""/>
    <s v=""/>
  </r>
  <r>
    <s v="LCW136"/>
    <d v="2010-07-29T00:00:00"/>
    <s v="Thursday"/>
    <s v="July"/>
    <x v="3"/>
    <x v="32"/>
    <x v="1"/>
    <x v="1"/>
    <s v="Taipa, Macau China"/>
    <s v="LEE Chong Wei"/>
    <x v="22"/>
    <s v="LEE Chong Wei"/>
    <x v="1"/>
    <s v="21-12"/>
    <s v=""/>
    <s v=""/>
  </r>
  <r>
    <s v="LCW137"/>
    <d v="2010-07-30T00:00:00"/>
    <s v="Friday"/>
    <s v="July"/>
    <x v="3"/>
    <x v="32"/>
    <x v="1"/>
    <x v="4"/>
    <s v="Taipa, Macau China"/>
    <s v="LEE Chong Wei"/>
    <x v="51"/>
    <s v="LEE Chong Wei"/>
    <x v="1"/>
    <s v="21-16"/>
    <s v=""/>
    <s v=""/>
  </r>
  <r>
    <s v="LCW138"/>
    <d v="2010-07-31T00:00:00"/>
    <s v="Saturday"/>
    <s v="July"/>
    <x v="3"/>
    <x v="32"/>
    <x v="1"/>
    <x v="2"/>
    <s v="Taipa, Macau China"/>
    <s v="LEE Chong Wei"/>
    <x v="3"/>
    <s v="LEE Chong Wei"/>
    <x v="1"/>
    <s v="21-12"/>
    <s v="18-21"/>
    <s v="21-12"/>
  </r>
  <r>
    <s v="LCW139"/>
    <d v="2010-09-22T00:00:00"/>
    <s v="Wednesday"/>
    <s v="September"/>
    <x v="3"/>
    <x v="33"/>
    <x v="0"/>
    <x v="0"/>
    <s v="Tokyo, Japan"/>
    <s v="LEE Chong Wei"/>
    <x v="60"/>
    <s v="LEE Chong Wei"/>
    <x v="1"/>
    <s v="21-5"/>
    <s v=""/>
    <s v=""/>
  </r>
  <r>
    <s v="LCW140"/>
    <d v="2010-09-23T00:00:00"/>
    <s v="Thursday"/>
    <s v="September"/>
    <x v="3"/>
    <x v="33"/>
    <x v="0"/>
    <x v="1"/>
    <s v="Tokyo, Japan"/>
    <s v="LEE Chong Wei"/>
    <x v="35"/>
    <s v="LEE Chong Wei"/>
    <x v="1"/>
    <s v="21-10"/>
    <s v=""/>
    <s v=""/>
  </r>
  <r>
    <s v="LCW141"/>
    <d v="2010-09-24T00:00:00"/>
    <s v="Friday"/>
    <s v="September"/>
    <x v="3"/>
    <x v="33"/>
    <x v="0"/>
    <x v="4"/>
    <s v="Tokyo, Japan"/>
    <s v="LEE Chong Wei"/>
    <x v="5"/>
    <s v="LEE Chong Wei"/>
    <x v="1"/>
    <s v="21-10"/>
    <s v=""/>
    <s v=""/>
  </r>
  <r>
    <s v="LCW142"/>
    <d v="2010-09-25T00:00:00"/>
    <s v="Saturday"/>
    <s v="September"/>
    <x v="3"/>
    <x v="33"/>
    <x v="0"/>
    <x v="2"/>
    <s v="Tokyo, Japan"/>
    <s v="LEE Chong Wei"/>
    <x v="36"/>
    <s v="LEE Chong Wei"/>
    <x v="1"/>
    <s v="21-13"/>
    <s v=""/>
    <s v=""/>
  </r>
  <r>
    <s v="LCW143"/>
    <d v="2010-09-26T00:00:00"/>
    <s v="Sunday"/>
    <s v="September"/>
    <x v="3"/>
    <x v="33"/>
    <x v="0"/>
    <x v="3"/>
    <s v="Tokyo, Japan"/>
    <s v="LEE Chong Wei"/>
    <x v="29"/>
    <s v="LEE Chong Wei"/>
    <x v="1"/>
    <s v="22-20"/>
    <s v="16-21"/>
    <s v="21-17"/>
  </r>
  <r>
    <s v="LCW144"/>
    <d v="2010-12-08T00:00:00"/>
    <s v="Wednesday"/>
    <s v="December"/>
    <x v="3"/>
    <x v="34"/>
    <x v="0"/>
    <x v="0"/>
    <s v="Hong Kong, Hong Kong China"/>
    <s v="LEE Chong Wei"/>
    <x v="61"/>
    <s v="LEE Chong Wei"/>
    <x v="1"/>
    <s v="21-12"/>
    <s v=""/>
    <s v=""/>
  </r>
  <r>
    <s v="LCW145"/>
    <d v="2010-12-09T00:00:00"/>
    <s v="Thursday"/>
    <s v="December"/>
    <x v="3"/>
    <x v="34"/>
    <x v="0"/>
    <x v="1"/>
    <s v="Hong Kong, Hong Kong China"/>
    <s v="LEE Chong Wei"/>
    <x v="44"/>
    <s v="LEE Chong Wei"/>
    <x v="1"/>
    <s v="21-17"/>
    <s v=""/>
    <s v=""/>
  </r>
  <r>
    <s v="LCW146"/>
    <d v="2010-12-11T00:00:00"/>
    <s v="Saturday"/>
    <s v="December"/>
    <x v="3"/>
    <x v="34"/>
    <x v="0"/>
    <x v="2"/>
    <s v="Hong Kong, Hong Kong China"/>
    <s v="LEE Chong Wei"/>
    <x v="31"/>
    <s v="LEE Chong Wei"/>
    <x v="1"/>
    <s v="21-14"/>
    <s v=""/>
    <s v=""/>
  </r>
  <r>
    <s v="LCW147"/>
    <d v="2010-12-12T00:00:00"/>
    <s v="Sunday"/>
    <s v="December"/>
    <x v="3"/>
    <x v="34"/>
    <x v="0"/>
    <x v="3"/>
    <s v="Hong Kong, Hong Kong China"/>
    <s v="LEE Chong Wei"/>
    <x v="8"/>
    <s v="LEE Chong Wei"/>
    <x v="1"/>
    <s v="21-19"/>
    <s v=""/>
    <s v=""/>
  </r>
  <r>
    <s v="LCW148"/>
    <d v="2011-01-05T00:00:00"/>
    <s v="Wednesday"/>
    <s v="January"/>
    <x v="4"/>
    <x v="35"/>
    <x v="2"/>
    <x v="7"/>
    <m/>
    <s v="LEE Chong Wei"/>
    <x v="31"/>
    <s v="LEE Chong Wei"/>
    <x v="1"/>
    <s v="21-12"/>
    <s v=""/>
    <s v=""/>
  </r>
  <r>
    <s v="LCW149"/>
    <d v="2011-01-06T00:00:00"/>
    <s v="Thursday"/>
    <s v="January"/>
    <x v="4"/>
    <x v="35"/>
    <x v="2"/>
    <x v="8"/>
    <m/>
    <s v="LEE Chong Wei"/>
    <x v="37"/>
    <s v="LEE Chong Wei"/>
    <x v="1"/>
    <s v="21-18"/>
    <s v=""/>
    <s v=""/>
  </r>
  <r>
    <s v="LCW150"/>
    <d v="2011-01-07T00:00:00"/>
    <s v="Friday"/>
    <s v="January"/>
    <x v="4"/>
    <x v="35"/>
    <x v="2"/>
    <x v="6"/>
    <m/>
    <s v="LEE Chong Wei"/>
    <x v="16"/>
    <s v="LEE Chong Wei"/>
    <x v="1"/>
    <s v="21-14"/>
    <s v=""/>
    <s v=""/>
  </r>
  <r>
    <s v="LCW151"/>
    <d v="2011-01-08T00:00:00"/>
    <s v="Saturday"/>
    <s v="January"/>
    <x v="4"/>
    <x v="35"/>
    <x v="2"/>
    <x v="2"/>
    <m/>
    <s v="LEE Chong Wei"/>
    <x v="36"/>
    <s v="LEE Chong Wei"/>
    <x v="1"/>
    <s v="21-17"/>
    <s v=""/>
    <s v=""/>
  </r>
  <r>
    <s v="LCW152"/>
    <d v="2011-01-09T00:00:00"/>
    <s v="Sunday"/>
    <s v="January"/>
    <x v="4"/>
    <x v="35"/>
    <x v="2"/>
    <x v="3"/>
    <m/>
    <s v="LEE Chong Wei"/>
    <x v="16"/>
    <s v="LEE Chong Wei"/>
    <x v="1"/>
    <s v="21-9"/>
    <s v=""/>
    <s v=""/>
  </r>
  <r>
    <s v="LCW153"/>
    <d v="2011-01-19T00:00:00"/>
    <s v="Wednesday"/>
    <s v="January"/>
    <x v="4"/>
    <x v="36"/>
    <x v="0"/>
    <x v="0"/>
    <s v="Kuala Lumpur, Malaysia"/>
    <s v="LEE Chong Wei"/>
    <x v="62"/>
    <s v="LEE Chong Wei"/>
    <x v="1"/>
    <s v="21-17"/>
    <s v=""/>
    <s v=""/>
  </r>
  <r>
    <s v="LCW154"/>
    <d v="2011-01-20T00:00:00"/>
    <s v="Thursday"/>
    <s v="January"/>
    <x v="4"/>
    <x v="36"/>
    <x v="0"/>
    <x v="1"/>
    <s v="Kuala Lumpur, Malaysia"/>
    <s v="LEE Chong Wei"/>
    <x v="42"/>
    <s v="LEE Chong Wei"/>
    <x v="1"/>
    <s v="21-6"/>
    <s v=""/>
    <s v=""/>
  </r>
  <r>
    <s v="LCW155"/>
    <d v="2011-01-21T00:00:00"/>
    <s v="Friday"/>
    <s v="January"/>
    <x v="4"/>
    <x v="36"/>
    <x v="0"/>
    <x v="4"/>
    <s v="Kuala Lumpur, Malaysia"/>
    <s v="LEE Chong Wei"/>
    <x v="31"/>
    <s v="LEE Chong Wei"/>
    <x v="1"/>
    <s v="21-15"/>
    <s v=""/>
    <s v=""/>
  </r>
  <r>
    <s v="LCW156"/>
    <d v="2011-01-22T00:00:00"/>
    <s v="Saturday"/>
    <s v="January"/>
    <x v="4"/>
    <x v="36"/>
    <x v="0"/>
    <x v="2"/>
    <s v="Kuala Lumpur, Malaysia"/>
    <s v="LEE Chong Wei"/>
    <x v="38"/>
    <s v="LEE Chong Wei"/>
    <x v="1"/>
    <s v="21-9"/>
    <s v=""/>
    <s v=""/>
  </r>
  <r>
    <s v="LCW157"/>
    <d v="2011-01-23T00:00:00"/>
    <s v="Sunday"/>
    <s v="January"/>
    <x v="4"/>
    <x v="36"/>
    <x v="0"/>
    <x v="3"/>
    <s v="Kuala Lumpur, Malaysia"/>
    <s v="LEE Chong Wei"/>
    <x v="8"/>
    <s v="LEE Chong Wei"/>
    <x v="1"/>
    <s v="21-8"/>
    <s v=""/>
    <s v=""/>
  </r>
  <r>
    <s v="LCW158"/>
    <d v="2011-01-26T00:00:00"/>
    <s v="Wednesday"/>
    <s v="January"/>
    <x v="4"/>
    <x v="37"/>
    <x v="2"/>
    <x v="0"/>
    <s v="Korea"/>
    <s v="LEE Chong Wei"/>
    <x v="37"/>
    <s v="LEE Chong Wei"/>
    <x v="1"/>
    <s v="21-9"/>
    <s v="18-21"/>
    <s v="21-16"/>
  </r>
  <r>
    <s v="LCW159"/>
    <d v="2011-01-27T00:00:00"/>
    <s v="Thursday"/>
    <s v="January"/>
    <x v="4"/>
    <x v="37"/>
    <x v="2"/>
    <x v="1"/>
    <s v="Korea"/>
    <s v="LEE Chong Wei"/>
    <x v="28"/>
    <s v="LEE Chong Wei"/>
    <x v="1"/>
    <s v="21-14"/>
    <s v=""/>
    <s v=""/>
  </r>
  <r>
    <s v="LCW160"/>
    <d v="2011-01-28T00:00:00"/>
    <s v="Friday"/>
    <s v="January"/>
    <x v="4"/>
    <x v="37"/>
    <x v="2"/>
    <x v="4"/>
    <s v="Korea"/>
    <s v="LEE Chong Wei"/>
    <x v="44"/>
    <s v="LEE Chong Wei"/>
    <x v="1"/>
    <s v="21-14"/>
    <s v=""/>
    <s v=""/>
  </r>
  <r>
    <s v="LCW161"/>
    <d v="2011-01-29T00:00:00"/>
    <s v="Saturday"/>
    <s v="January"/>
    <x v="4"/>
    <x v="37"/>
    <x v="2"/>
    <x v="2"/>
    <s v="Korea"/>
    <s v="LEE Chong Wei"/>
    <x v="49"/>
    <s v="LEE Chong Wei"/>
    <x v="1"/>
    <s v="21-10"/>
    <s v=""/>
    <s v=""/>
  </r>
  <r>
    <s v="LCW162"/>
    <d v="2011-01-30T00:00:00"/>
    <s v="Sunday"/>
    <s v="January"/>
    <x v="4"/>
    <x v="37"/>
    <x v="2"/>
    <x v="3"/>
    <s v="Korea"/>
    <s v="LEE Chong Wei"/>
    <x v="29"/>
    <s v="LIN Dan"/>
    <x v="0"/>
    <s v="19-21"/>
    <s v="21-14"/>
    <s v="16-21"/>
  </r>
  <r>
    <s v="LCW163"/>
    <d v="2011-03-09T00:00:00"/>
    <s v="Wednesday"/>
    <s v="March"/>
    <x v="4"/>
    <x v="38"/>
    <x v="2"/>
    <x v="0"/>
    <s v="Birmingham, England"/>
    <s v="LEE Chong Wei"/>
    <x v="52"/>
    <s v="LEE Chong Wei"/>
    <x v="1"/>
    <s v="21-9"/>
    <s v=""/>
    <s v=""/>
  </r>
  <r>
    <s v="LCW164"/>
    <d v="2011-03-10T00:00:00"/>
    <s v="Thursday"/>
    <s v="March"/>
    <x v="4"/>
    <x v="38"/>
    <x v="2"/>
    <x v="1"/>
    <s v="Birmingham, England"/>
    <s v="LEE Chong Wei"/>
    <x v="5"/>
    <s v="LEE Chong Wei"/>
    <x v="1"/>
    <s v="21-16"/>
    <s v=""/>
    <s v=""/>
  </r>
  <r>
    <s v="LCW165"/>
    <d v="2011-03-11T00:00:00"/>
    <s v="Friday"/>
    <s v="March"/>
    <x v="4"/>
    <x v="38"/>
    <x v="2"/>
    <x v="4"/>
    <s v="Birmingham, England"/>
    <s v="LEE Chong Wei"/>
    <x v="36"/>
    <s v="LEE Chong Wei"/>
    <x v="1"/>
    <s v="21-15"/>
    <s v=""/>
    <s v=""/>
  </r>
  <r>
    <s v="LCW166"/>
    <d v="2011-03-12T00:00:00"/>
    <s v="Saturday"/>
    <s v="March"/>
    <x v="4"/>
    <x v="38"/>
    <x v="2"/>
    <x v="2"/>
    <s v="Birmingham, England"/>
    <s v="LEE Chong Wei"/>
    <x v="38"/>
    <s v="LEE Chong Wei"/>
    <x v="1"/>
    <s v="21-17"/>
    <s v=""/>
    <s v=""/>
  </r>
  <r>
    <s v="LCW167"/>
    <d v="2011-03-13T00:00:00"/>
    <s v="Sunday"/>
    <s v="March"/>
    <x v="4"/>
    <x v="38"/>
    <x v="2"/>
    <x v="3"/>
    <s v="Birmingham, England"/>
    <s v="LEE Chong Wei"/>
    <x v="29"/>
    <s v="LEE Chong Wei"/>
    <x v="1"/>
    <s v="21-17"/>
    <s v=""/>
    <s v=""/>
  </r>
  <r>
    <s v="LCW168"/>
    <d v="2011-04-27T00:00:00"/>
    <s v="Wednesday"/>
    <s v="April"/>
    <x v="4"/>
    <x v="39"/>
    <x v="0"/>
    <x v="0"/>
    <s v="New Delhi, India"/>
    <s v="LEE Chong Wei"/>
    <x v="57"/>
    <s v="LEE Chong Wei"/>
    <x v="1"/>
    <s v="21-19"/>
    <s v=""/>
    <s v=""/>
  </r>
  <r>
    <s v="LCW169"/>
    <d v="2011-04-28T00:00:00"/>
    <s v="Thursday"/>
    <s v="April"/>
    <x v="4"/>
    <x v="39"/>
    <x v="0"/>
    <x v="1"/>
    <s v="New Delhi, India"/>
    <s v="LEE Chong Wei"/>
    <x v="12"/>
    <s v="LEE Chong Wei"/>
    <x v="1"/>
    <s v="21-13"/>
    <s v=""/>
    <s v=""/>
  </r>
  <r>
    <s v="LCW170"/>
    <d v="2011-04-29T00:00:00"/>
    <s v="Friday"/>
    <s v="April"/>
    <x v="4"/>
    <x v="39"/>
    <x v="0"/>
    <x v="4"/>
    <s v="New Delhi, India"/>
    <s v="LEE Chong Wei"/>
    <x v="63"/>
    <s v="LEE Chong Wei"/>
    <x v="1"/>
    <s v="21-7"/>
    <s v=""/>
    <s v=""/>
  </r>
  <r>
    <s v="LCW171"/>
    <d v="2011-04-30T00:00:00"/>
    <s v="Saturday"/>
    <s v="April"/>
    <x v="4"/>
    <x v="39"/>
    <x v="0"/>
    <x v="2"/>
    <s v="New Delhi, India"/>
    <s v="LEE Chong Wei"/>
    <x v="42"/>
    <s v="LEE Chong Wei"/>
    <x v="1"/>
    <s v="21-11"/>
    <s v=""/>
    <s v=""/>
  </r>
  <r>
    <s v="LCW172"/>
    <d v="2011-05-01T00:00:00"/>
    <s v="Sunday"/>
    <s v="May"/>
    <x v="4"/>
    <x v="39"/>
    <x v="0"/>
    <x v="3"/>
    <s v="New Delhi, India"/>
    <s v="LEE Chong Wei"/>
    <x v="16"/>
    <s v="LEE Chong Wei"/>
    <x v="1"/>
    <s v="21-12"/>
    <s v="12-21"/>
    <s v="21-15"/>
  </r>
  <r>
    <s v="LCW173"/>
    <d v="2011-05-04T00:00:00"/>
    <s v="Wednesday"/>
    <s v="May"/>
    <x v="4"/>
    <x v="40"/>
    <x v="1"/>
    <x v="5"/>
    <s v="Alor Setar, Malaysia"/>
    <s v="LEE Chong Wei"/>
    <x v="64"/>
    <s v="LEE Chong Wei"/>
    <x v="1"/>
    <s v="21-7"/>
    <s v=""/>
    <s v=""/>
  </r>
  <r>
    <s v="LCW174"/>
    <d v="2011-05-04T00:00:00"/>
    <s v="Wednesday"/>
    <s v="May"/>
    <x v="4"/>
    <x v="40"/>
    <x v="1"/>
    <x v="0"/>
    <s v="Alor Setar, Malaysia"/>
    <s v="LEE Chong Wei"/>
    <x v="65"/>
    <s v="LEE Chong Wei"/>
    <x v="1"/>
    <s v="21-8"/>
    <s v=""/>
    <s v=""/>
  </r>
  <r>
    <s v="LCW175"/>
    <d v="2011-05-05T00:00:00"/>
    <s v="Thursday"/>
    <s v="May"/>
    <x v="4"/>
    <x v="40"/>
    <x v="1"/>
    <x v="1"/>
    <s v="Alor Setar, Malaysia"/>
    <s v="LEE Chong Wei"/>
    <x v="62"/>
    <s v="LEE Chong Wei"/>
    <x v="1"/>
    <s v="21-19"/>
    <s v=""/>
    <s v=""/>
  </r>
  <r>
    <s v="LCW176"/>
    <d v="2011-05-06T00:00:00"/>
    <s v="Friday"/>
    <s v="May"/>
    <x v="4"/>
    <x v="40"/>
    <x v="1"/>
    <x v="4"/>
    <s v="Alor Setar, Malaysia"/>
    <s v="LEE Chong Wei"/>
    <x v="52"/>
    <s v="LEE Chong Wei"/>
    <x v="1"/>
    <s v="21-17"/>
    <s v=""/>
    <s v=""/>
  </r>
  <r>
    <s v="LCW177"/>
    <d v="2011-05-07T00:00:00"/>
    <s v="Saturday"/>
    <s v="May"/>
    <x v="4"/>
    <x v="40"/>
    <x v="1"/>
    <x v="2"/>
    <s v="Alor Setar, Malaysia"/>
    <s v="LEE Chong Wei"/>
    <x v="13"/>
    <s v="LEE Chong Wei"/>
    <x v="1"/>
    <s v="21-13"/>
    <s v=""/>
    <s v=""/>
  </r>
  <r>
    <s v="LCW178"/>
    <d v="2011-05-08T00:00:00"/>
    <s v="Sunday"/>
    <s v="May"/>
    <x v="4"/>
    <x v="40"/>
    <x v="1"/>
    <x v="3"/>
    <s v="Alor Setar, Malaysia"/>
    <s v="LEE Chong Wei"/>
    <x v="5"/>
    <s v="LEE Chong Wei"/>
    <x v="1"/>
    <s v="21-9"/>
    <s v=""/>
    <s v=""/>
  </r>
  <r>
    <s v="LCW179"/>
    <d v="2011-06-22T00:00:00"/>
    <s v="Wednesday"/>
    <s v="June"/>
    <x v="4"/>
    <x v="41"/>
    <x v="2"/>
    <x v="0"/>
    <m/>
    <s v="LEE Chong Wei"/>
    <x v="62"/>
    <s v="LEE Chong Wei"/>
    <x v="1"/>
    <s v="21-16"/>
    <s v=""/>
    <s v=""/>
  </r>
  <r>
    <s v="LCW180"/>
    <d v="2011-06-23T00:00:00"/>
    <s v="Thursday"/>
    <s v="June"/>
    <x v="4"/>
    <x v="41"/>
    <x v="2"/>
    <x v="1"/>
    <m/>
    <s v="LEE Chong Wei"/>
    <x v="56"/>
    <s v="LEE Chong Wei"/>
    <x v="1"/>
    <s v="21-17"/>
    <s v=""/>
    <s v=""/>
  </r>
  <r>
    <s v="LCW181"/>
    <d v="2011-06-24T00:00:00"/>
    <s v="Friday"/>
    <s v="June"/>
    <x v="4"/>
    <x v="41"/>
    <x v="2"/>
    <x v="4"/>
    <m/>
    <s v="LEE Chong Wei"/>
    <x v="31"/>
    <s v="LEE Chong Wei"/>
    <x v="1"/>
    <s v="21-10"/>
    <s v=""/>
    <s v=""/>
  </r>
  <r>
    <s v="LCW182"/>
    <d v="2011-06-25T00:00:00"/>
    <s v="Saturday"/>
    <s v="June"/>
    <x v="4"/>
    <x v="41"/>
    <x v="2"/>
    <x v="2"/>
    <m/>
    <s v="LEE Chong Wei"/>
    <x v="38"/>
    <s v="LEE Chong Wei"/>
    <x v="1"/>
    <s v="21-17"/>
    <s v=""/>
    <s v=""/>
  </r>
  <r>
    <s v="LCW183"/>
    <d v="2011-06-26T00:00:00"/>
    <s v="Sunday"/>
    <s v="June"/>
    <x v="4"/>
    <x v="41"/>
    <x v="2"/>
    <x v="3"/>
    <m/>
    <s v="LEE Chong Wei"/>
    <x v="16"/>
    <s v="LEE Chong Wei"/>
    <x v="1"/>
    <s v="21-11"/>
    <s v=""/>
    <s v=""/>
  </r>
  <r>
    <s v="LCW184"/>
    <d v="2011-08-08T00:00:00"/>
    <s v="Monday"/>
    <s v="August"/>
    <x v="4"/>
    <x v="42"/>
    <x v="3"/>
    <x v="5"/>
    <s v="London, England"/>
    <s v="LEE Chong Wei"/>
    <x v="22"/>
    <s v="LEE Chong Wei"/>
    <x v="1"/>
    <s v="21-15"/>
    <s v=""/>
    <s v=""/>
  </r>
  <r>
    <s v="LCW185"/>
    <d v="2011-08-10T00:00:00"/>
    <s v="Wednesday"/>
    <s v="August"/>
    <x v="4"/>
    <x v="42"/>
    <x v="3"/>
    <x v="0"/>
    <s v="London, England"/>
    <s v="LEE Chong Wei"/>
    <x v="34"/>
    <s v="LEE Chong Wei"/>
    <x v="1"/>
    <s v="21-10"/>
    <s v=""/>
    <s v=""/>
  </r>
  <r>
    <s v="LCW186"/>
    <d v="2011-08-11T00:00:00"/>
    <s v="Thursday"/>
    <s v="August"/>
    <x v="4"/>
    <x v="42"/>
    <x v="3"/>
    <x v="1"/>
    <s v="London, England"/>
    <s v="LEE Chong Wei"/>
    <x v="28"/>
    <s v="LEE Chong Wei"/>
    <x v="1"/>
    <s v="21-10"/>
    <s v=""/>
    <s v=""/>
  </r>
  <r>
    <s v="LCW187"/>
    <d v="2011-08-12T00:00:00"/>
    <s v="Friday"/>
    <s v="August"/>
    <x v="4"/>
    <x v="42"/>
    <x v="3"/>
    <x v="4"/>
    <s v="London, England"/>
    <s v="LEE Chong Wei"/>
    <x v="66"/>
    <s v="LEE Chong Wei"/>
    <x v="1"/>
    <s v="21-7"/>
    <s v=""/>
    <s v=""/>
  </r>
  <r>
    <s v="LCW188"/>
    <d v="2011-08-13T00:00:00"/>
    <s v="Saturday"/>
    <s v="August"/>
    <x v="4"/>
    <x v="42"/>
    <x v="3"/>
    <x v="2"/>
    <s v="London, England"/>
    <s v="LEE Chong Wei"/>
    <x v="9"/>
    <s v="LEE Chong Wei"/>
    <x v="1"/>
    <s v="21-13"/>
    <s v=""/>
    <s v=""/>
  </r>
  <r>
    <s v="LCW189"/>
    <d v="2011-08-14T00:00:00"/>
    <s v="Sunday"/>
    <s v="August"/>
    <x v="4"/>
    <x v="42"/>
    <x v="3"/>
    <x v="3"/>
    <s v="London, England"/>
    <s v="LEE Chong Wei"/>
    <x v="29"/>
    <s v="LIN Dan"/>
    <x v="0"/>
    <s v="22-20"/>
    <s v="14-21"/>
    <s v="21-23"/>
  </r>
  <r>
    <s v="LCW190"/>
    <d v="2011-09-21T00:00:00"/>
    <s v="Wednesday"/>
    <s v="September"/>
    <x v="4"/>
    <x v="43"/>
    <x v="0"/>
    <x v="0"/>
    <s v="Tokyo, Japan"/>
    <s v="LEE Chong Wei"/>
    <x v="48"/>
    <s v="LEE Chong Wei"/>
    <x v="1"/>
    <s v="21-13"/>
    <s v=""/>
    <s v=""/>
  </r>
  <r>
    <s v="LCW191"/>
    <d v="2011-09-22T00:00:00"/>
    <s v="Thursday"/>
    <s v="September"/>
    <x v="4"/>
    <x v="43"/>
    <x v="0"/>
    <x v="1"/>
    <s v="Tokyo, Japan"/>
    <s v="LEE Chong Wei"/>
    <x v="44"/>
    <s v="LEE Chong Wei"/>
    <x v="1"/>
    <s v="21-19"/>
    <s v=""/>
    <s v=""/>
  </r>
  <r>
    <s v="LCW192"/>
    <d v="2011-09-23T00:00:00"/>
    <s v="Friday"/>
    <s v="September"/>
    <x v="4"/>
    <x v="43"/>
    <x v="0"/>
    <x v="4"/>
    <s v="Tokyo, Japan"/>
    <s v="LEE Chong Wei"/>
    <x v="35"/>
    <s v="LEE Chong Wei"/>
    <x v="1"/>
    <s v="21-23"/>
    <s v="21-7"/>
    <s v="21-18"/>
  </r>
  <r>
    <s v="LCW193"/>
    <d v="2011-09-24T00:00:00"/>
    <s v="Saturday"/>
    <s v="September"/>
    <x v="4"/>
    <x v="43"/>
    <x v="0"/>
    <x v="2"/>
    <s v="Tokyo, Japan"/>
    <s v="LEE Chong Wei"/>
    <x v="16"/>
    <s v="LEE Chong Wei"/>
    <x v="1"/>
    <s v="21-13"/>
    <s v=""/>
    <s v=""/>
  </r>
  <r>
    <s v="LCW194"/>
    <d v="2011-09-25T00:00:00"/>
    <s v="Sunday"/>
    <s v="September"/>
    <x v="4"/>
    <x v="43"/>
    <x v="0"/>
    <x v="3"/>
    <s v="Tokyo, Japan"/>
    <s v="LEE Chong Wei"/>
    <x v="38"/>
    <s v="CHEN Long"/>
    <x v="0"/>
    <s v="8-21"/>
    <s v="21-10"/>
    <s v="19-21"/>
  </r>
  <r>
    <s v="LCW195"/>
    <d v="2011-10-19T00:00:00"/>
    <s v="Wednesday"/>
    <s v="October"/>
    <x v="4"/>
    <x v="44"/>
    <x v="2"/>
    <x v="0"/>
    <m/>
    <s v="LEE Chong Wei"/>
    <x v="67"/>
    <s v="LEE Chong Wei"/>
    <x v="1"/>
    <s v="21-11"/>
    <s v=""/>
    <s v=""/>
  </r>
  <r>
    <s v="LCW196"/>
    <d v="2011-10-20T00:00:00"/>
    <s v="Thursday"/>
    <s v="October"/>
    <x v="4"/>
    <x v="44"/>
    <x v="2"/>
    <x v="1"/>
    <m/>
    <s v="LEE Chong Wei"/>
    <x v="68"/>
    <s v="LEE Chong Wei"/>
    <x v="1"/>
    <s v="21-14"/>
    <s v=""/>
    <s v=""/>
  </r>
  <r>
    <s v="LCW197"/>
    <d v="2011-10-21T00:00:00"/>
    <s v="Friday"/>
    <s v="October"/>
    <x v="4"/>
    <x v="44"/>
    <x v="2"/>
    <x v="4"/>
    <m/>
    <s v="LEE Chong Wei"/>
    <x v="9"/>
    <s v="LEE Chong Wei"/>
    <x v="1"/>
    <s v="21-14"/>
    <s v=""/>
    <s v=""/>
  </r>
  <r>
    <s v="LCW198"/>
    <d v="2011-10-22T00:00:00"/>
    <s v="Saturday"/>
    <s v="October"/>
    <x v="4"/>
    <x v="44"/>
    <x v="2"/>
    <x v="2"/>
    <m/>
    <s v="LEE Chong Wei"/>
    <x v="16"/>
    <s v="LEE Chong Wei"/>
    <x v="1"/>
    <s v="21-19"/>
    <s v=""/>
    <s v=""/>
  </r>
  <r>
    <s v="LCW199"/>
    <d v="2011-10-23T00:00:00"/>
    <s v="Sunday"/>
    <s v="October"/>
    <x v="4"/>
    <x v="44"/>
    <x v="2"/>
    <x v="3"/>
    <m/>
    <s v="LEE Chong Wei"/>
    <x v="38"/>
    <s v="CHEN Long"/>
    <x v="0"/>
    <s v="15-21"/>
    <s v=""/>
    <s v=""/>
  </r>
  <r>
    <s v="LCW200"/>
    <d v="2011-10-26T00:00:00"/>
    <s v="Wednesday"/>
    <s v="October"/>
    <x v="4"/>
    <x v="45"/>
    <x v="0"/>
    <x v="0"/>
    <s v="Paris, France"/>
    <s v="LEE Chong Wei"/>
    <x v="33"/>
    <s v="LEE Chong Wei"/>
    <x v="1"/>
    <s v="21-16"/>
    <s v=""/>
    <s v=""/>
  </r>
  <r>
    <s v="LCW201"/>
    <d v="2011-10-27T00:00:00"/>
    <s v="Thursday"/>
    <s v="October"/>
    <x v="4"/>
    <x v="45"/>
    <x v="0"/>
    <x v="1"/>
    <s v="Paris, France"/>
    <s v="LEE Chong Wei"/>
    <x v="52"/>
    <s v="LEE Chong Wei"/>
    <x v="1"/>
    <s v="21-11"/>
    <s v=""/>
    <s v=""/>
  </r>
  <r>
    <s v="LCW202"/>
    <d v="2011-10-28T00:00:00"/>
    <s v="Friday"/>
    <s v="October"/>
    <x v="4"/>
    <x v="45"/>
    <x v="0"/>
    <x v="4"/>
    <s v="Paris, France"/>
    <s v="LEE Chong Wei"/>
    <x v="51"/>
    <s v="LEE Chong Wei"/>
    <x v="1"/>
    <s v="21-11"/>
    <s v=""/>
    <s v=""/>
  </r>
  <r>
    <s v="LCW203"/>
    <d v="2011-10-29T00:00:00"/>
    <s v="Saturday"/>
    <s v="October"/>
    <x v="4"/>
    <x v="45"/>
    <x v="0"/>
    <x v="2"/>
    <s v="Paris, France"/>
    <s v="LEE Chong Wei"/>
    <x v="38"/>
    <s v="LEE Chong Wei"/>
    <x v="1"/>
    <s v="23-21"/>
    <s v="17-21"/>
    <s v="21-15"/>
  </r>
  <r>
    <s v="LCW204"/>
    <d v="2011-10-30T00:00:00"/>
    <s v="Sunday"/>
    <s v="October"/>
    <x v="4"/>
    <x v="45"/>
    <x v="0"/>
    <x v="3"/>
    <s v="Paris, France"/>
    <s v="LEE Chong Wei"/>
    <x v="35"/>
    <s v="LEE Chong Wei"/>
    <x v="1"/>
    <s v="21-16"/>
    <s v=""/>
    <s v=""/>
  </r>
  <r>
    <s v="LCW205"/>
    <d v="2011-11-16T00:00:00"/>
    <s v="Wednesday"/>
    <s v="November"/>
    <x v="4"/>
    <x v="46"/>
    <x v="0"/>
    <x v="0"/>
    <s v="Kowloon, Hong Kong China"/>
    <s v="LEE Chong Wei"/>
    <x v="69"/>
    <s v="LEE Chong Wei"/>
    <x v="1"/>
    <s v="21-13"/>
    <s v=""/>
    <s v=""/>
  </r>
  <r>
    <s v="LCW206"/>
    <d v="2011-11-17T00:00:00"/>
    <s v="Thursday"/>
    <s v="November"/>
    <x v="4"/>
    <x v="46"/>
    <x v="0"/>
    <x v="1"/>
    <s v="Kowloon, Hong Kong China"/>
    <s v="LEE Chong Wei"/>
    <x v="70"/>
    <s v="LEE Chong Wei"/>
    <x v="1"/>
    <s v="21-15"/>
    <s v=""/>
    <s v=""/>
  </r>
  <r>
    <s v="LCW207"/>
    <d v="2011-11-18T00:00:00"/>
    <s v="Friday"/>
    <s v="November"/>
    <x v="4"/>
    <x v="46"/>
    <x v="0"/>
    <x v="4"/>
    <s v="Kowloon, Hong Kong China"/>
    <s v="LEE Chong Wei"/>
    <x v="57"/>
    <s v="LEE Chong Wei"/>
    <x v="1"/>
    <s v="21-16"/>
    <s v=""/>
    <s v=""/>
  </r>
  <r>
    <s v="LCW208"/>
    <d v="2011-11-19T00:00:00"/>
    <s v="Saturday"/>
    <s v="November"/>
    <x v="4"/>
    <x v="46"/>
    <x v="0"/>
    <x v="2"/>
    <s v="Kowloon, Hong Kong China"/>
    <s v="LEE Chong Wei"/>
    <x v="29"/>
    <s v="LIN Dan"/>
    <x v="0"/>
    <s v="16-21"/>
    <s v=""/>
    <s v=""/>
  </r>
  <r>
    <s v="LCW209"/>
    <d v="2011-11-23T00:00:00"/>
    <s v="Wednesday"/>
    <s v="November"/>
    <x v="4"/>
    <x v="47"/>
    <x v="2"/>
    <x v="0"/>
    <s v="China"/>
    <s v="LEE Chong Wei"/>
    <x v="10"/>
    <s v="LEE Chong Wei"/>
    <x v="1"/>
    <s v="21-11"/>
    <s v=""/>
    <s v=""/>
  </r>
  <r>
    <s v="LCW210"/>
    <d v="2011-11-24T00:00:00"/>
    <s v="Thursday"/>
    <s v="November"/>
    <x v="4"/>
    <x v="47"/>
    <x v="2"/>
    <x v="1"/>
    <s v="China"/>
    <s v="LEE Chong Wei"/>
    <x v="35"/>
    <s v="LEE Chong Wei"/>
    <x v="1"/>
    <s v="21-9"/>
    <s v=""/>
    <s v=""/>
  </r>
  <r>
    <s v="LCW211"/>
    <d v="2011-11-25T00:00:00"/>
    <s v="Friday"/>
    <s v="November"/>
    <x v="4"/>
    <x v="47"/>
    <x v="2"/>
    <x v="4"/>
    <s v="China"/>
    <s v="LEE Chong Wei"/>
    <x v="13"/>
    <s v="LEE Chong Wei"/>
    <x v="1"/>
    <s v="21-18"/>
    <s v=""/>
    <s v=""/>
  </r>
  <r>
    <s v="LCW212"/>
    <d v="2011-11-26T00:00:00"/>
    <s v="Saturday"/>
    <s v="November"/>
    <x v="4"/>
    <x v="47"/>
    <x v="2"/>
    <x v="2"/>
    <s v="China"/>
    <s v="LEE Chong Wei"/>
    <x v="29"/>
    <s v="LIN Dan"/>
    <x v="0"/>
    <s v="21-19"/>
    <s v="12-21"/>
    <s v="11-21"/>
  </r>
  <r>
    <s v="LCW213"/>
    <d v="2011-12-14T00:00:00"/>
    <s v="Wednesday"/>
    <s v="December"/>
    <x v="4"/>
    <x v="48"/>
    <x v="2"/>
    <x v="8"/>
    <s v="China"/>
    <s v="LEE Chong Wei"/>
    <x v="13"/>
    <s v="LEE Chong Wei"/>
    <x v="1"/>
    <s v="21-11"/>
    <s v="18-21"/>
    <s v="21-12"/>
  </r>
  <r>
    <s v="LCW214"/>
    <d v="2011-12-15T00:00:00"/>
    <s v="Thursday"/>
    <s v="December"/>
    <x v="4"/>
    <x v="48"/>
    <x v="2"/>
    <x v="7"/>
    <s v="China"/>
    <s v="LEE Chong Wei"/>
    <x v="3"/>
    <s v="LEE Chong Wei"/>
    <x v="1"/>
    <s v="21-10"/>
    <s v=""/>
    <s v=""/>
  </r>
  <r>
    <s v="LCW215"/>
    <d v="2011-12-16T00:00:00"/>
    <s v="Friday"/>
    <s v="December"/>
    <x v="4"/>
    <x v="48"/>
    <x v="2"/>
    <x v="6"/>
    <s v="China"/>
    <s v="LEE Chong Wei"/>
    <x v="16"/>
    <s v="LEE Chong Wei"/>
    <x v="1"/>
    <s v="24-22"/>
    <s v=""/>
    <s v=""/>
  </r>
  <r>
    <s v="LCW216"/>
    <d v="2011-12-17T00:00:00"/>
    <s v="Saturday"/>
    <s v="December"/>
    <x v="4"/>
    <x v="48"/>
    <x v="2"/>
    <x v="2"/>
    <s v="China"/>
    <s v="LEE Chong Wei"/>
    <x v="38"/>
    <s v="CHEN Long"/>
    <x v="0"/>
    <s v="16-21"/>
    <s v="21-16"/>
    <s v="18-21"/>
  </r>
  <r>
    <s v="LCW217"/>
    <d v="2012-01-04T00:00:00"/>
    <s v="Wednesday"/>
    <s v="January"/>
    <x v="5"/>
    <x v="49"/>
    <x v="2"/>
    <x v="0"/>
    <s v="Seoul,, Korea"/>
    <s v="LEE Chong Wei"/>
    <x v="71"/>
    <s v="LEE Chong Wei"/>
    <x v="1"/>
    <s v="21-11"/>
    <s v=""/>
    <s v=""/>
  </r>
  <r>
    <s v="LCW218"/>
    <d v="2012-01-05T00:00:00"/>
    <s v="Thursday"/>
    <s v="January"/>
    <x v="5"/>
    <x v="49"/>
    <x v="2"/>
    <x v="1"/>
    <s v="Seoul,, Korea"/>
    <s v="LEE Chong Wei"/>
    <x v="51"/>
    <s v="LEE Chong Wei"/>
    <x v="1"/>
    <s v="13-21"/>
    <s v="21-14"/>
    <s v="21-15"/>
  </r>
  <r>
    <s v="LCW219"/>
    <d v="2012-01-06T00:00:00"/>
    <s v="Friday"/>
    <s v="January"/>
    <x v="5"/>
    <x v="49"/>
    <x v="2"/>
    <x v="4"/>
    <s v="Seoul,, Korea"/>
    <s v="LEE Chong Wei"/>
    <x v="35"/>
    <s v="LEE Chong Wei"/>
    <x v="1"/>
    <s v="21-18"/>
    <s v=""/>
    <s v=""/>
  </r>
  <r>
    <s v="LCW220"/>
    <d v="2012-01-07T00:00:00"/>
    <s v="Saturday"/>
    <s v="January"/>
    <x v="5"/>
    <x v="49"/>
    <x v="2"/>
    <x v="2"/>
    <s v="Seoul,, Korea"/>
    <s v="LEE Chong Wei"/>
    <x v="49"/>
    <s v="LEE Chong Wei"/>
    <x v="1"/>
    <s v="21-8"/>
    <s v=""/>
    <s v=""/>
  </r>
  <r>
    <s v="LCW221"/>
    <d v="2012-01-08T00:00:00"/>
    <s v="Sunday"/>
    <s v="January"/>
    <x v="5"/>
    <x v="49"/>
    <x v="2"/>
    <x v="3"/>
    <s v="Seoul,, Korea"/>
    <s v="LEE Chong Wei"/>
    <x v="29"/>
    <s v="LEE Chong Wei"/>
    <x v="1"/>
    <s v="12-21"/>
    <s v="21-18"/>
    <s v="21-14"/>
  </r>
  <r>
    <s v="LCW222"/>
    <d v="2012-01-11T00:00:00"/>
    <s v="Wednesday"/>
    <s v="January"/>
    <x v="5"/>
    <x v="50"/>
    <x v="0"/>
    <x v="0"/>
    <s v="Kuala Lumpur , Malaysia"/>
    <s v="LEE Chong Wei"/>
    <x v="55"/>
    <s v="LEE Chong Wei"/>
    <x v="1"/>
    <s v="21-8"/>
    <s v=""/>
    <s v=""/>
  </r>
  <r>
    <s v="LCW223"/>
    <d v="2012-01-12T00:00:00"/>
    <s v="Thursday"/>
    <s v="January"/>
    <x v="5"/>
    <x v="50"/>
    <x v="0"/>
    <x v="1"/>
    <s v="Kuala Lumpur , Malaysia"/>
    <s v="LEE Chong Wei"/>
    <x v="72"/>
    <s v="LEE Chong Wei"/>
    <x v="1"/>
    <s v="21-8"/>
    <s v=""/>
    <s v=""/>
  </r>
  <r>
    <s v="LCW224"/>
    <d v="2012-01-13T00:00:00"/>
    <s v="Friday"/>
    <s v="January"/>
    <x v="5"/>
    <x v="50"/>
    <x v="0"/>
    <x v="4"/>
    <s v="Kuala Lumpur , Malaysia"/>
    <s v="LEE Chong Wei"/>
    <x v="8"/>
    <s v="LEE Chong Wei"/>
    <x v="1"/>
    <s v="21-9"/>
    <s v=""/>
    <s v=""/>
  </r>
  <r>
    <s v="LCW225"/>
    <d v="2012-01-14T00:00:00"/>
    <s v="Saturday"/>
    <s v="January"/>
    <x v="5"/>
    <x v="50"/>
    <x v="0"/>
    <x v="2"/>
    <s v="Kuala Lumpur , Malaysia"/>
    <s v="LEE Chong Wei"/>
    <x v="38"/>
    <s v="LEE Chong Wei"/>
    <x v="1"/>
    <s v="21-18"/>
    <s v="17-21"/>
    <s v="21-13"/>
  </r>
  <r>
    <s v="LCW226"/>
    <d v="2012-01-15T00:00:00"/>
    <s v="Sunday"/>
    <s v="January"/>
    <x v="5"/>
    <x v="50"/>
    <x v="0"/>
    <x v="3"/>
    <s v="Kuala Lumpur , Malaysia"/>
    <s v="LEE Chong Wei"/>
    <x v="35"/>
    <s v="LEE Chong Wei"/>
    <x v="1"/>
    <s v="21-6"/>
    <s v=""/>
    <s v=""/>
  </r>
  <r>
    <s v="LCW227"/>
    <d v="2012-03-07T00:00:00"/>
    <s v="Wednesday"/>
    <s v="March"/>
    <x v="5"/>
    <x v="51"/>
    <x v="2"/>
    <x v="0"/>
    <s v="Birmingham, England"/>
    <s v="LEE Chong Wei"/>
    <x v="44"/>
    <s v="LEE Chong Wei"/>
    <x v="1"/>
    <s v="21-16"/>
    <s v=""/>
    <s v=""/>
  </r>
  <r>
    <s v="LCW228"/>
    <d v="2012-03-08T00:00:00"/>
    <s v="Thursday"/>
    <s v="March"/>
    <x v="5"/>
    <x v="51"/>
    <x v="2"/>
    <x v="1"/>
    <s v="Birmingham, England"/>
    <s v="LEE Chong Wei"/>
    <x v="73"/>
    <s v="LEE Chong Wei"/>
    <x v="1"/>
    <s v="23-21"/>
    <s v=""/>
    <s v=""/>
  </r>
  <r>
    <s v="LCW229"/>
    <d v="2012-03-09T00:00:00"/>
    <s v="Friday"/>
    <s v="March"/>
    <x v="5"/>
    <x v="51"/>
    <x v="2"/>
    <x v="4"/>
    <s v="Birmingham, England"/>
    <s v="LEE Chong Wei"/>
    <x v="53"/>
    <s v="LEE Chong Wei"/>
    <x v="1"/>
    <s v="21-9"/>
    <s v=""/>
    <s v=""/>
  </r>
  <r>
    <s v="LCW230"/>
    <d v="2012-03-10T00:00:00"/>
    <s v="Saturday"/>
    <s v="March"/>
    <x v="5"/>
    <x v="51"/>
    <x v="2"/>
    <x v="2"/>
    <s v="Birmingham, England"/>
    <s v="LEE Chong Wei"/>
    <x v="12"/>
    <s v="LEE Chong Wei"/>
    <x v="1"/>
    <s v="21-19"/>
    <s v=""/>
    <s v=""/>
  </r>
  <r>
    <s v="LCW231"/>
    <d v="2012-03-11T00:00:00"/>
    <s v="Sunday"/>
    <s v="March"/>
    <x v="5"/>
    <x v="51"/>
    <x v="2"/>
    <x v="3"/>
    <s v="Birmingham, England"/>
    <s v="LEE Chong Wei"/>
    <x v="29"/>
    <s v="LIN Dan"/>
    <x v="0"/>
    <s v="19-21"/>
    <s v=""/>
    <s v=""/>
  </r>
  <r>
    <s v="LCW232"/>
    <d v="2012-04-25T00:00:00"/>
    <s v="Wednesday"/>
    <s v="April"/>
    <x v="5"/>
    <x v="52"/>
    <x v="0"/>
    <x v="0"/>
    <s v="New Delhi, India"/>
    <s v="LEE Chong Wei"/>
    <x v="71"/>
    <s v="LEE Chong Wei"/>
    <x v="1"/>
    <s v="21-8"/>
    <s v=""/>
    <s v=""/>
  </r>
  <r>
    <s v="LCW233"/>
    <d v="2012-04-26T00:00:00"/>
    <s v="Thursday"/>
    <s v="April"/>
    <x v="5"/>
    <x v="52"/>
    <x v="0"/>
    <x v="1"/>
    <s v="New Delhi, India"/>
    <s v="LEE Chong Wei"/>
    <x v="57"/>
    <s v="LEE Chong Wei"/>
    <x v="1"/>
    <s v="21-16"/>
    <s v="15-21"/>
    <s v="21-5"/>
  </r>
  <r>
    <s v="LCW234"/>
    <d v="2012-04-27T00:00:00"/>
    <s v="Friday"/>
    <s v="April"/>
    <x v="5"/>
    <x v="52"/>
    <x v="0"/>
    <x v="4"/>
    <s v="New Delhi, India"/>
    <s v="LEE Chong Wei"/>
    <x v="8"/>
    <s v="LEE Chong Wei"/>
    <x v="1"/>
    <s v="21-16"/>
    <s v=""/>
    <s v=""/>
  </r>
  <r>
    <s v="LCW235"/>
    <d v="2012-04-28T00:00:00"/>
    <s v="Saturday"/>
    <s v="April"/>
    <x v="5"/>
    <x v="52"/>
    <x v="0"/>
    <x v="2"/>
    <s v="New Delhi, India"/>
    <s v="LEE Chong Wei"/>
    <x v="59"/>
    <s v="LEE Chong Wei"/>
    <x v="1"/>
    <s v="21-13"/>
    <s v=""/>
    <s v=""/>
  </r>
  <r>
    <s v="LCW236"/>
    <d v="2012-04-29T00:00:00"/>
    <s v="Sunday"/>
    <s v="April"/>
    <x v="5"/>
    <x v="52"/>
    <x v="0"/>
    <x v="3"/>
    <s v="New Delhi, India"/>
    <s v="LEE Chong Wei"/>
    <x v="51"/>
    <s v="SON Wan Ho"/>
    <x v="0"/>
    <s v="18-21"/>
    <s v="21-14"/>
    <s v="19-21"/>
  </r>
  <r>
    <s v="LCW237"/>
    <d v="2012-05-03T00:00:00"/>
    <s v="Thursday"/>
    <s v="May"/>
    <x v="5"/>
    <x v="53"/>
    <x v="1"/>
    <x v="0"/>
    <s v="JOHOR BAHRU, Malaysia"/>
    <s v="LEE Chong Wei"/>
    <x v="74"/>
    <s v="LEE Chong Wei"/>
    <x v="1"/>
    <s v="21-7"/>
    <s v=""/>
    <s v=""/>
  </r>
  <r>
    <s v="LCW238"/>
    <d v="2012-05-03T00:00:00"/>
    <s v="Thursday"/>
    <s v="May"/>
    <x v="5"/>
    <x v="53"/>
    <x v="1"/>
    <x v="1"/>
    <s v="JOHOR BAHRU, Malaysia"/>
    <s v="LEE Chong Wei"/>
    <x v="75"/>
    <s v="LEE Chong Wei"/>
    <x v="1"/>
    <s v="21-12"/>
    <s v=""/>
    <s v=""/>
  </r>
  <r>
    <s v="LCW239"/>
    <d v="2012-05-04T00:00:00"/>
    <s v="Friday"/>
    <s v="May"/>
    <x v="5"/>
    <x v="53"/>
    <x v="1"/>
    <x v="4"/>
    <s v="JOHOR BAHRU, Malaysia"/>
    <s v="LEE Chong Wei"/>
    <x v="76"/>
    <s v="LEE Chong Wei"/>
    <x v="1"/>
    <s v="21-18"/>
    <s v="15-21"/>
    <s v="21-8"/>
  </r>
  <r>
    <s v="LCW240"/>
    <d v="2012-05-05T00:00:00"/>
    <s v="Saturday"/>
    <s v="May"/>
    <x v="5"/>
    <x v="53"/>
    <x v="1"/>
    <x v="2"/>
    <s v="JOHOR BAHRU, Malaysia"/>
    <s v="LEE Chong Wei"/>
    <x v="62"/>
    <s v="LEE Chong Wei"/>
    <x v="1"/>
    <s v="21-18"/>
    <s v=""/>
    <s v=""/>
  </r>
  <r>
    <s v="LCW241"/>
    <d v="2012-05-06T00:00:00"/>
    <s v="Sunday"/>
    <s v="May"/>
    <x v="5"/>
    <x v="53"/>
    <x v="1"/>
    <x v="3"/>
    <s v="JOHOR BAHRU, Malaysia"/>
    <s v="LEE Chong Wei"/>
    <x v="19"/>
    <s v="LEE Chong Wei"/>
    <x v="1"/>
    <s v="17-21"/>
    <s v="21-8"/>
    <s v="21-10"/>
  </r>
  <r>
    <s v="LCW242"/>
    <d v="2012-09-19T00:00:00"/>
    <s v="Wednesday"/>
    <s v="September"/>
    <x v="5"/>
    <x v="54"/>
    <x v="0"/>
    <x v="0"/>
    <s v="Tokyo, Japan"/>
    <s v="LEE Chong Wei"/>
    <x v="68"/>
    <s v="LEE Chong Wei"/>
    <x v="1"/>
    <s v="21-13"/>
    <s v=""/>
    <s v=""/>
  </r>
  <r>
    <s v="LCW243"/>
    <d v="2012-09-20T00:00:00"/>
    <s v="Thursday"/>
    <s v="September"/>
    <x v="5"/>
    <x v="54"/>
    <x v="0"/>
    <x v="1"/>
    <s v="Tokyo, Japan"/>
    <s v="LEE Chong Wei"/>
    <x v="70"/>
    <s v="LEE Chong Wei"/>
    <x v="1"/>
    <s v="21-10"/>
    <s v=""/>
    <s v=""/>
  </r>
  <r>
    <s v="LCW244"/>
    <d v="2012-09-21T00:00:00"/>
    <s v="Friday"/>
    <s v="September"/>
    <x v="5"/>
    <x v="54"/>
    <x v="0"/>
    <x v="4"/>
    <s v="Tokyo, Japan"/>
    <s v="LEE Chong Wei"/>
    <x v="76"/>
    <s v="LEE Chong Wei"/>
    <x v="1"/>
    <s v="21-15"/>
    <s v=""/>
    <s v=""/>
  </r>
  <r>
    <s v="LCW245"/>
    <d v="2012-09-22T00:00:00"/>
    <s v="Saturday"/>
    <s v="September"/>
    <x v="5"/>
    <x v="54"/>
    <x v="0"/>
    <x v="2"/>
    <s v="Tokyo, Japan"/>
    <s v="LEE Chong Wei"/>
    <x v="3"/>
    <s v="LEE Chong Wei"/>
    <x v="1"/>
    <s v="21-7"/>
    <s v=""/>
    <s v=""/>
  </r>
  <r>
    <s v="LCW246"/>
    <d v="2012-09-23T00:00:00"/>
    <s v="Sunday"/>
    <s v="September"/>
    <x v="5"/>
    <x v="54"/>
    <x v="0"/>
    <x v="3"/>
    <s v="Tokyo, Japan"/>
    <s v="LEE Chong Wei"/>
    <x v="36"/>
    <s v="LEE Chong Wei"/>
    <x v="1"/>
    <s v="21-18"/>
    <s v=""/>
    <s v=""/>
  </r>
  <r>
    <s v="LCW247"/>
    <d v="2012-10-17T00:00:00"/>
    <s v="Wednesday"/>
    <s v="October"/>
    <x v="5"/>
    <x v="55"/>
    <x v="2"/>
    <x v="0"/>
    <s v="Odense, Denmark"/>
    <s v="LEE Chong Wei"/>
    <x v="70"/>
    <s v="LEE Chong Wei"/>
    <x v="1"/>
    <s v="21-8"/>
    <s v=""/>
    <s v=""/>
  </r>
  <r>
    <s v="LCW248"/>
    <d v="2012-10-18T00:00:00"/>
    <s v="Thursday"/>
    <s v="October"/>
    <x v="5"/>
    <x v="55"/>
    <x v="2"/>
    <x v="1"/>
    <s v="Odense, Denmark"/>
    <s v="LEE Chong Wei"/>
    <x v="36"/>
    <s v="LEE Chong Wei"/>
    <x v="1"/>
    <s v="21-11"/>
    <s v=""/>
    <s v=""/>
  </r>
  <r>
    <s v="LCW249"/>
    <d v="2012-10-19T00:00:00"/>
    <s v="Friday"/>
    <s v="October"/>
    <x v="5"/>
    <x v="55"/>
    <x v="2"/>
    <x v="4"/>
    <s v="Odense, Denmark"/>
    <s v="LEE Chong Wei"/>
    <x v="55"/>
    <s v="LEE Chong Wei"/>
    <x v="1"/>
    <s v="21-16"/>
    <s v=""/>
    <s v=""/>
  </r>
  <r>
    <s v="LCW250"/>
    <d v="2012-10-20T00:00:00"/>
    <s v="Saturday"/>
    <s v="October"/>
    <x v="5"/>
    <x v="55"/>
    <x v="2"/>
    <x v="2"/>
    <s v="Odense, Denmark"/>
    <s v="LEE Chong Wei"/>
    <x v="37"/>
    <s v="LEE Chong Wei"/>
    <x v="1"/>
    <s v="22-20"/>
    <s v=""/>
    <s v=""/>
  </r>
  <r>
    <s v="LCW251"/>
    <d v="2012-10-21T00:00:00"/>
    <s v="Sunday"/>
    <s v="October"/>
    <x v="5"/>
    <x v="55"/>
    <x v="2"/>
    <x v="3"/>
    <s v="Odense, Denmark"/>
    <s v="LEE Chong Wei"/>
    <x v="49"/>
    <s v="LEE Chong Wei"/>
    <x v="1"/>
    <s v="15-21"/>
    <s v="21-12"/>
    <s v="21-19"/>
  </r>
  <r>
    <s v="LCW252"/>
    <d v="2012-11-21T00:00:00"/>
    <s v="Wednesday"/>
    <s v="November"/>
    <x v="5"/>
    <x v="56"/>
    <x v="0"/>
    <x v="0"/>
    <s v="Hong Kong , Hong Kong China"/>
    <s v="LEE Chong Wei"/>
    <x v="36"/>
    <s v="LEE Chong Wei"/>
    <x v="1"/>
    <s v="21-15"/>
    <s v=""/>
    <s v=""/>
  </r>
  <r>
    <s v="LCW253"/>
    <d v="2012-11-22T00:00:00"/>
    <s v="Thursday"/>
    <s v="November"/>
    <x v="5"/>
    <x v="56"/>
    <x v="0"/>
    <x v="1"/>
    <s v="Hong Kong , Hong Kong China"/>
    <s v="LEE Chong Wei"/>
    <x v="57"/>
    <s v="LEE Chong Wei"/>
    <x v="1"/>
    <s v="21-18"/>
    <s v=""/>
    <s v=""/>
  </r>
  <r>
    <s v="LCW254"/>
    <d v="2012-11-23T00:00:00"/>
    <s v="Friday"/>
    <s v="November"/>
    <x v="5"/>
    <x v="56"/>
    <x v="0"/>
    <x v="4"/>
    <s v="Hong Kong , Hong Kong China"/>
    <s v="LEE Chong Wei"/>
    <x v="31"/>
    <s v="LEE Chong Wei"/>
    <x v="1"/>
    <s v="21-18"/>
    <s v=""/>
    <s v=""/>
  </r>
  <r>
    <s v="LCW255"/>
    <d v="2012-11-24T00:00:00"/>
    <s v="Saturday"/>
    <s v="November"/>
    <x v="5"/>
    <x v="56"/>
    <x v="0"/>
    <x v="2"/>
    <s v="Hong Kong , Hong Kong China"/>
    <s v="LEE Chong Wei"/>
    <x v="35"/>
    <s v="LEE Chong Wei"/>
    <x v="1"/>
    <s v="21-19"/>
    <s v=""/>
    <s v=""/>
  </r>
  <r>
    <s v="LCW256"/>
    <d v="2012-11-25T00:00:00"/>
    <s v="Sunday"/>
    <s v="November"/>
    <x v="5"/>
    <x v="56"/>
    <x v="0"/>
    <x v="3"/>
    <s v="Hong Kong , Hong Kong China"/>
    <s v="LEE Chong Wei"/>
    <x v="38"/>
    <s v="CHEN Long"/>
    <x v="0"/>
    <s v="19-21"/>
    <s v=""/>
    <s v=""/>
  </r>
  <r>
    <s v="LCW257"/>
    <d v="2012-12-12T00:00:00"/>
    <s v="Wednesday"/>
    <s v="December"/>
    <x v="5"/>
    <x v="57"/>
    <x v="2"/>
    <x v="8"/>
    <s v="Shenzhen, China"/>
    <s v="LEE Chong Wei"/>
    <x v="49"/>
    <s v="DU Pengyu"/>
    <x v="0"/>
    <s v="21-12"/>
    <s v="16-21"/>
    <s v="20-22"/>
  </r>
  <r>
    <s v="LCW258"/>
    <d v="2013-01-09T00:00:00"/>
    <s v="Wednesday"/>
    <s v="January"/>
    <x v="6"/>
    <x v="58"/>
    <x v="2"/>
    <x v="0"/>
    <s v="Seoul, Korea"/>
    <s v="LEE Chong Wei"/>
    <x v="44"/>
    <s v="LEE Chong Wei"/>
    <x v="1"/>
    <s v="17-21"/>
    <s v="21-14"/>
    <s v="21-16"/>
  </r>
  <r>
    <s v="LCW259"/>
    <d v="2013-01-10T00:00:00"/>
    <s v="Thursday"/>
    <s v="January"/>
    <x v="6"/>
    <x v="58"/>
    <x v="2"/>
    <x v="1"/>
    <s v="Seoul, Korea"/>
    <s v="LEE Chong Wei"/>
    <x v="33"/>
    <s v="LEE Chong Wei"/>
    <x v="1"/>
    <s v="21-11"/>
    <s v=""/>
    <s v=""/>
  </r>
  <r>
    <s v="LCW260"/>
    <d v="2013-01-11T00:00:00"/>
    <s v="Friday"/>
    <s v="January"/>
    <x v="6"/>
    <x v="58"/>
    <x v="2"/>
    <x v="4"/>
    <s v="Seoul, Korea"/>
    <s v="LEE Chong Wei"/>
    <x v="42"/>
    <s v="LEE Chong Wei"/>
    <x v="1"/>
    <s v="21-15"/>
    <s v=""/>
    <s v=""/>
  </r>
  <r>
    <s v="LCW261"/>
    <d v="2013-01-12T00:00:00"/>
    <s v="Saturday"/>
    <s v="January"/>
    <x v="6"/>
    <x v="58"/>
    <x v="2"/>
    <x v="2"/>
    <s v="Seoul, Korea"/>
    <s v="LEE Chong Wei"/>
    <x v="56"/>
    <s v="LEE Chong Wei"/>
    <x v="1"/>
    <s v="21-11"/>
    <s v=""/>
    <s v=""/>
  </r>
  <r>
    <s v="LCW262"/>
    <d v="2013-01-13T00:00:00"/>
    <s v="Sunday"/>
    <s v="January"/>
    <x v="6"/>
    <x v="58"/>
    <x v="2"/>
    <x v="3"/>
    <s v="Seoul, Korea"/>
    <s v="LEE Chong Wei"/>
    <x v="49"/>
    <s v="LEE Chong Wei"/>
    <x v="1"/>
    <s v="21-12"/>
    <s v=""/>
    <s v=""/>
  </r>
  <r>
    <s v="LCW263"/>
    <d v="2013-01-16T00:00:00"/>
    <s v="Wednesday"/>
    <s v="January"/>
    <x v="6"/>
    <x v="59"/>
    <x v="0"/>
    <x v="0"/>
    <s v="Kuala Lumpur, Malaysia"/>
    <s v="LEE Chong Wei"/>
    <x v="70"/>
    <s v="LEE Chong Wei"/>
    <x v="1"/>
    <s v="21-8"/>
    <s v=""/>
    <s v=""/>
  </r>
  <r>
    <s v="LCW264"/>
    <d v="2013-01-18T00:00:00"/>
    <s v="Friday"/>
    <s v="January"/>
    <x v="6"/>
    <x v="59"/>
    <x v="0"/>
    <x v="4"/>
    <s v="Kuala Lumpur, Malaysia"/>
    <s v="LEE Chong Wei"/>
    <x v="42"/>
    <s v="LEE Chong Wei"/>
    <x v="1"/>
    <s v="21-12"/>
    <s v=""/>
    <s v=""/>
  </r>
  <r>
    <s v="LCW265"/>
    <d v="2013-01-19T00:00:00"/>
    <s v="Saturday"/>
    <s v="January"/>
    <x v="6"/>
    <x v="59"/>
    <x v="0"/>
    <x v="2"/>
    <s v="Kuala Lumpur, Malaysia"/>
    <s v="LEE Chong Wei"/>
    <x v="37"/>
    <s v="LEE Chong Wei"/>
    <x v="1"/>
    <s v="21-13"/>
    <s v="17-21"/>
    <s v="21-12"/>
  </r>
  <r>
    <s v="LCW266"/>
    <d v="2013-01-20T00:00:00"/>
    <s v="Sunday"/>
    <s v="January"/>
    <x v="6"/>
    <x v="59"/>
    <x v="0"/>
    <x v="3"/>
    <s v="Kuala Lumpur, Malaysia"/>
    <s v="LEE Chong Wei"/>
    <x v="19"/>
    <s v="LEE Chong Wei"/>
    <x v="1"/>
    <s v="21-7"/>
    <s v=""/>
    <s v=""/>
  </r>
  <r>
    <s v="LCW267"/>
    <d v="2013-03-06T00:00:00"/>
    <s v="Wednesday"/>
    <s v="March"/>
    <x v="6"/>
    <x v="60"/>
    <x v="2"/>
    <x v="0"/>
    <s v="Birmingham, England"/>
    <s v="LEE Chong Wei"/>
    <x v="56"/>
    <s v="LEE Chong Wei"/>
    <x v="1"/>
    <s v="13-21"/>
    <s v="21-6"/>
    <s v="23-21"/>
  </r>
  <r>
    <s v="LCW268"/>
    <d v="2013-03-07T00:00:00"/>
    <s v="Thursday"/>
    <s v="March"/>
    <x v="6"/>
    <x v="60"/>
    <x v="2"/>
    <x v="1"/>
    <s v="Birmingham, England"/>
    <s v="LEE Chong Wei"/>
    <x v="44"/>
    <s v="LEE Chong Wei"/>
    <x v="1"/>
    <s v="21-17"/>
    <s v=""/>
    <s v=""/>
  </r>
  <r>
    <s v="LCW269"/>
    <d v="2013-03-08T00:00:00"/>
    <s v="Friday"/>
    <s v="March"/>
    <x v="6"/>
    <x v="60"/>
    <x v="2"/>
    <x v="4"/>
    <s v="Birmingham, England"/>
    <s v="LEE Chong Wei"/>
    <x v="31"/>
    <s v="LEE Chong Wei"/>
    <x v="1"/>
    <s v="21-17"/>
    <s v=""/>
    <s v=""/>
  </r>
  <r>
    <s v="LCW270"/>
    <d v="2013-03-09T00:00:00"/>
    <s v="Saturday"/>
    <s v="March"/>
    <x v="6"/>
    <x v="60"/>
    <x v="2"/>
    <x v="2"/>
    <s v="Birmingham, England"/>
    <s v="LEE Chong Wei"/>
    <x v="22"/>
    <s v="LEE Chong Wei"/>
    <x v="1"/>
    <s v="22-20"/>
    <s v=""/>
    <s v=""/>
  </r>
  <r>
    <s v="LCW271"/>
    <d v="2013-03-10T00:00:00"/>
    <s v="Sunday"/>
    <s v="March"/>
    <x v="6"/>
    <x v="60"/>
    <x v="2"/>
    <x v="3"/>
    <s v="Birmingham, England"/>
    <s v="LEE Chong Wei"/>
    <x v="38"/>
    <s v="CHEN Long"/>
    <x v="0"/>
    <s v="17-21"/>
    <s v=""/>
    <s v=""/>
  </r>
  <r>
    <s v="LCW272"/>
    <d v="2013-04-02T00:00:00"/>
    <s v="Tuesday"/>
    <s v="April"/>
    <x v="6"/>
    <x v="61"/>
    <x v="0"/>
    <x v="5"/>
    <s v="Sydney, Australia"/>
    <s v="LEE Chong Wei"/>
    <x v="24"/>
    <s v="LEE Chong Wei"/>
    <x v="1"/>
    <s v="21-10"/>
    <s v=""/>
    <s v=""/>
  </r>
  <r>
    <s v="LCW273"/>
    <d v="2013-04-03T00:00:00"/>
    <s v="Wednesday"/>
    <s v="April"/>
    <x v="6"/>
    <x v="61"/>
    <x v="0"/>
    <x v="0"/>
    <s v="Sydney, Australia"/>
    <s v="LEE Chong Wei"/>
    <x v="77"/>
    <s v="LEE Chong Wei"/>
    <x v="1"/>
    <s v="21-7"/>
    <s v=""/>
    <s v=""/>
  </r>
  <r>
    <s v="LCW274"/>
    <d v="2013-04-04T00:00:00"/>
    <s v="Thursday"/>
    <s v="April"/>
    <x v="6"/>
    <x v="61"/>
    <x v="0"/>
    <x v="1"/>
    <s v="Sydney, Australia"/>
    <s v="LEE Chong Wei"/>
    <x v="60"/>
    <s v="LEE Chong Wei"/>
    <x v="1"/>
    <s v="21-10"/>
    <s v="18-21"/>
    <s v="21-15"/>
  </r>
  <r>
    <s v="LCW275"/>
    <d v="2013-04-05T00:00:00"/>
    <s v="Friday"/>
    <s v="April"/>
    <x v="6"/>
    <x v="61"/>
    <x v="0"/>
    <x v="4"/>
    <s v="Sydney, Australia"/>
    <s v="LEE Chong Wei"/>
    <x v="78"/>
    <s v="LEE Chong Wei"/>
    <x v="1"/>
    <s v="21-11"/>
    <s v=""/>
    <s v=""/>
  </r>
  <r>
    <s v="LCW276"/>
    <d v="2013-04-06T00:00:00"/>
    <s v="Saturday"/>
    <s v="April"/>
    <x v="6"/>
    <x v="61"/>
    <x v="0"/>
    <x v="2"/>
    <s v="Sydney, Australia"/>
    <s v="LEE Chong Wei"/>
    <x v="79"/>
    <s v="TIAN Houwei"/>
    <x v="0"/>
    <s v="19-21"/>
    <s v="21-17"/>
    <s v="18-21"/>
  </r>
  <r>
    <s v="LCW277"/>
    <d v="2013-04-24T00:00:00"/>
    <s v="Wednesday"/>
    <s v="April"/>
    <x v="6"/>
    <x v="62"/>
    <x v="0"/>
    <x v="0"/>
    <s v="New Delhi, India"/>
    <s v="LEE Chong Wei"/>
    <x v="80"/>
    <s v="LEE Chong Wei"/>
    <x v="1"/>
    <s v="21-16"/>
    <s v=""/>
    <s v=""/>
  </r>
  <r>
    <s v="LCW278"/>
    <d v="2013-04-25T00:00:00"/>
    <s v="Thursday"/>
    <s v="April"/>
    <x v="6"/>
    <x v="62"/>
    <x v="0"/>
    <x v="1"/>
    <s v="New Delhi, India"/>
    <s v="LEE Chong Wei"/>
    <x v="81"/>
    <s v="LEE Chong Wei"/>
    <x v="1"/>
    <s v="21-17"/>
    <s v=""/>
    <s v=""/>
  </r>
  <r>
    <s v="LCW279"/>
    <d v="2013-04-26T00:00:00"/>
    <s v="Friday"/>
    <s v="April"/>
    <x v="6"/>
    <x v="62"/>
    <x v="0"/>
    <x v="4"/>
    <s v="New Delhi, India"/>
    <s v="LEE Chong Wei"/>
    <x v="82"/>
    <s v="LEE Chong Wei"/>
    <x v="1"/>
    <s v="21-14"/>
    <s v=""/>
    <s v=""/>
  </r>
  <r>
    <s v="LCW280"/>
    <d v="2013-04-27T00:00:00"/>
    <s v="Saturday"/>
    <s v="April"/>
    <x v="6"/>
    <x v="62"/>
    <x v="0"/>
    <x v="2"/>
    <s v="New Delhi, India"/>
    <s v="LEE Chong Wei"/>
    <x v="36"/>
    <s v="LEE Chong Wei"/>
    <x v="1"/>
    <s v="21-11"/>
    <s v="18-21"/>
    <s v="21-8"/>
  </r>
  <r>
    <s v="LCW281"/>
    <d v="2013-04-28T00:00:00"/>
    <s v="Sunday"/>
    <s v="April"/>
    <x v="6"/>
    <x v="62"/>
    <x v="0"/>
    <x v="3"/>
    <s v="New Delhi, India"/>
    <s v="LEE Chong Wei"/>
    <x v="35"/>
    <s v="LEE Chong Wei"/>
    <x v="1"/>
    <s v="21-15"/>
    <s v="18-21"/>
    <s v="21-17"/>
  </r>
  <r>
    <s v="LCW282"/>
    <d v="2013-06-12T00:00:00"/>
    <s v="Wednesday"/>
    <s v="June"/>
    <x v="6"/>
    <x v="63"/>
    <x v="2"/>
    <x v="0"/>
    <s v="Jakarta"/>
    <s v="LEE Chong Wei"/>
    <x v="44"/>
    <s v="LEE Chong Wei"/>
    <x v="1"/>
    <s v="20-22"/>
    <s v="21-4"/>
    <s v="22-20"/>
  </r>
  <r>
    <s v="LCW283"/>
    <d v="2013-06-13T00:00:00"/>
    <s v="Thursday"/>
    <s v="June"/>
    <x v="6"/>
    <x v="63"/>
    <x v="2"/>
    <x v="1"/>
    <s v="Jakarta"/>
    <s v="LEE Chong Wei"/>
    <x v="75"/>
    <s v="LEE Chong Wei"/>
    <x v="1"/>
    <s v="21-18"/>
    <s v=""/>
    <s v=""/>
  </r>
  <r>
    <s v="LCW284"/>
    <d v="2013-06-14T00:00:00"/>
    <s v="Friday"/>
    <s v="June"/>
    <x v="6"/>
    <x v="63"/>
    <x v="2"/>
    <x v="4"/>
    <s v="Jakarta"/>
    <s v="LEE Chong Wei"/>
    <x v="36"/>
    <s v="LEE Chong Wei"/>
    <x v="1"/>
    <s v="21-10"/>
    <s v=""/>
    <s v=""/>
  </r>
  <r>
    <s v="LCW285"/>
    <d v="2013-06-15T00:00:00"/>
    <s v="Saturday"/>
    <s v="June"/>
    <x v="6"/>
    <x v="63"/>
    <x v="2"/>
    <x v="2"/>
    <s v="Jakarta"/>
    <s v="LEE Chong Wei"/>
    <x v="53"/>
    <s v="LEE Chong Wei"/>
    <x v="1"/>
    <s v="21-17"/>
    <s v=""/>
    <s v=""/>
  </r>
  <r>
    <s v="LCW286"/>
    <d v="2013-06-16T00:00:00"/>
    <s v="Sunday"/>
    <s v="June"/>
    <x v="6"/>
    <x v="63"/>
    <x v="2"/>
    <x v="3"/>
    <s v="Jakarta"/>
    <s v="LEE Chong Wei"/>
    <x v="33"/>
    <s v="LEE Chong Wei"/>
    <x v="1"/>
    <s v="21-15"/>
    <s v=""/>
    <s v=""/>
  </r>
  <r>
    <s v="LCW287"/>
    <d v="2013-09-18T00:00:00"/>
    <s v="Wednesday"/>
    <s v="September"/>
    <x v="6"/>
    <x v="64"/>
    <x v="0"/>
    <x v="0"/>
    <s v="Tokyo, Japan"/>
    <s v="LEE Chong Wei"/>
    <x v="59"/>
    <s v="LEE Chong Wei"/>
    <x v="1"/>
    <s v="21-15"/>
    <s v=""/>
    <s v=""/>
  </r>
  <r>
    <s v="LCW288"/>
    <d v="2013-09-19T00:00:00"/>
    <s v="Thursday"/>
    <s v="September"/>
    <x v="6"/>
    <x v="64"/>
    <x v="0"/>
    <x v="1"/>
    <s v="Tokyo, Japan"/>
    <s v="LEE Chong Wei"/>
    <x v="68"/>
    <s v="LEE Chong Wei"/>
    <x v="1"/>
    <s v="21-12"/>
    <s v=""/>
    <s v=""/>
  </r>
  <r>
    <s v="LCW289"/>
    <d v="2013-09-20T00:00:00"/>
    <s v="Friday"/>
    <s v="September"/>
    <x v="6"/>
    <x v="64"/>
    <x v="0"/>
    <x v="4"/>
    <s v="Tokyo, Japan"/>
    <s v="LEE Chong Wei"/>
    <x v="83"/>
    <s v="LEE Chong Wei"/>
    <x v="1"/>
    <s v="21-10"/>
    <s v=""/>
    <s v=""/>
  </r>
  <r>
    <s v="LCW290"/>
    <d v="2013-09-21T00:00:00"/>
    <s v="Saturday"/>
    <s v="September"/>
    <x v="6"/>
    <x v="64"/>
    <x v="0"/>
    <x v="2"/>
    <s v="Tokyo, Japan"/>
    <s v="LEE Chong Wei"/>
    <x v="31"/>
    <s v="LEE Chong Wei"/>
    <x v="1"/>
    <s v="21-10"/>
    <s v=""/>
    <s v=""/>
  </r>
  <r>
    <s v="LCW291"/>
    <d v="2013-09-22T00:00:00"/>
    <s v="Sunday"/>
    <s v="September"/>
    <x v="6"/>
    <x v="64"/>
    <x v="0"/>
    <x v="3"/>
    <s v="Tokyo, Japan"/>
    <s v="LEE Chong Wei"/>
    <x v="35"/>
    <s v="LEE Chong Wei"/>
    <x v="1"/>
    <s v="23-21"/>
    <s v=""/>
    <s v=""/>
  </r>
  <r>
    <s v="LCW292"/>
    <d v="2013-10-16T00:00:00"/>
    <s v="Wednesday"/>
    <s v="October"/>
    <x v="6"/>
    <x v="65"/>
    <x v="2"/>
    <x v="0"/>
    <s v="Odense V"/>
    <s v="LEE Chong Wei"/>
    <x v="84"/>
    <s v="LEE Chong Wei"/>
    <x v="1"/>
    <s v="21-11"/>
    <s v=""/>
    <s v=""/>
  </r>
  <r>
    <s v="LCW293"/>
    <d v="2013-10-17T00:00:00"/>
    <s v="Thursday"/>
    <s v="October"/>
    <x v="6"/>
    <x v="65"/>
    <x v="2"/>
    <x v="1"/>
    <s v="Odense V"/>
    <s v="LEE Chong Wei"/>
    <x v="70"/>
    <s v="LEE Chong Wei"/>
    <x v="1"/>
    <s v="21-11"/>
    <s v=""/>
    <s v=""/>
  </r>
  <r>
    <s v="LCW294"/>
    <d v="2013-10-18T00:00:00"/>
    <s v="Friday"/>
    <s v="October"/>
    <x v="6"/>
    <x v="65"/>
    <x v="2"/>
    <x v="4"/>
    <s v="Odense V"/>
    <s v="LEE Chong Wei"/>
    <x v="37"/>
    <s v="LEE Chong Wei"/>
    <x v="1"/>
    <s v="8-21"/>
    <s v="21-18"/>
    <s v="21-5"/>
  </r>
  <r>
    <s v="LCW295"/>
    <d v="2013-10-19T00:00:00"/>
    <s v="Saturday"/>
    <s v="October"/>
    <x v="6"/>
    <x v="65"/>
    <x v="2"/>
    <x v="2"/>
    <s v="Odense V"/>
    <s v="LEE Chong Wei"/>
    <x v="49"/>
    <s v="LEE Chong Wei"/>
    <x v="1"/>
    <s v="20-22"/>
    <s v="21-6"/>
    <s v="21-15"/>
  </r>
  <r>
    <s v="LCW296"/>
    <d v="2013-10-20T00:00:00"/>
    <s v="Sunday"/>
    <s v="October"/>
    <x v="6"/>
    <x v="65"/>
    <x v="2"/>
    <x v="3"/>
    <s v="Odense V"/>
    <s v="LEE Chong Wei"/>
    <x v="38"/>
    <s v="CHEN Long"/>
    <x v="0"/>
    <s v="22-24"/>
    <s v=""/>
    <s v=""/>
  </r>
  <r>
    <s v="LCW297"/>
    <d v="2013-10-22T00:00:00"/>
    <s v="Tuesday"/>
    <s v="October"/>
    <x v="6"/>
    <x v="66"/>
    <x v="0"/>
    <x v="0"/>
    <s v="Paris, France"/>
    <s v="LEE Chong Wei"/>
    <x v="67"/>
    <s v="LEE Chong Wei"/>
    <x v="1"/>
    <s v="22-20"/>
    <s v=""/>
    <s v=""/>
  </r>
  <r>
    <s v="LCW298"/>
    <d v="2013-10-24T00:00:00"/>
    <s v="Thursday"/>
    <s v="October"/>
    <x v="6"/>
    <x v="66"/>
    <x v="0"/>
    <x v="1"/>
    <s v="Paris, France"/>
    <s v="LEE Chong Wei"/>
    <x v="57"/>
    <s v="LEE Chong Wei"/>
    <x v="1"/>
    <s v="21-18"/>
    <s v=""/>
    <s v=""/>
  </r>
  <r>
    <s v="LCW299"/>
    <d v="2013-10-25T00:00:00"/>
    <s v="Friday"/>
    <s v="October"/>
    <x v="6"/>
    <x v="66"/>
    <x v="0"/>
    <x v="4"/>
    <s v="Paris, France"/>
    <s v="LEE Chong Wei"/>
    <x v="36"/>
    <s v="LEE Chong Wei"/>
    <x v="1"/>
    <s v="21-13"/>
    <s v=""/>
    <s v=""/>
  </r>
  <r>
    <s v="LCW300"/>
    <d v="2013-10-26T00:00:00"/>
    <s v="Saturday"/>
    <s v="October"/>
    <x v="6"/>
    <x v="66"/>
    <x v="0"/>
    <x v="2"/>
    <s v="Paris, France"/>
    <s v="LEE Chong Wei"/>
    <x v="35"/>
    <s v="Kenichi TAGO"/>
    <x v="0"/>
    <s v="21-17"/>
    <s v="16-21"/>
    <s v="12-21"/>
  </r>
  <r>
    <s v="LCW301"/>
    <d v="2013-11-20T00:00:00"/>
    <s v="Wednesday"/>
    <s v="November"/>
    <x v="6"/>
    <x v="67"/>
    <x v="0"/>
    <x v="0"/>
    <s v="Hong Kong, Hong Kong China"/>
    <s v="LEE Chong Wei"/>
    <x v="85"/>
    <s v="LEE Chong Wei"/>
    <x v="1"/>
    <s v="21-18"/>
    <s v=""/>
    <s v=""/>
  </r>
  <r>
    <s v="LCW302"/>
    <d v="2013-11-21T00:00:00"/>
    <s v="Thursday"/>
    <s v="November"/>
    <x v="6"/>
    <x v="67"/>
    <x v="0"/>
    <x v="1"/>
    <s v="Hong Kong, Hong Kong China"/>
    <s v="LEE Chong Wei"/>
    <x v="76"/>
    <s v="LEE Chong Wei"/>
    <x v="1"/>
    <s v="21-12"/>
    <s v=""/>
    <s v=""/>
  </r>
  <r>
    <s v="LCW303"/>
    <d v="2013-11-22T00:00:00"/>
    <s v="Friday"/>
    <s v="November"/>
    <x v="6"/>
    <x v="67"/>
    <x v="0"/>
    <x v="4"/>
    <s v="Hong Kong, Hong Kong China"/>
    <s v="LEE Chong Wei"/>
    <x v="37"/>
    <s v="LEE Chong Wei"/>
    <x v="1"/>
    <s v="21-8"/>
    <s v=""/>
    <s v=""/>
  </r>
  <r>
    <s v="LCW304"/>
    <d v="2013-11-23T00:00:00"/>
    <s v="Saturday"/>
    <s v="November"/>
    <x v="6"/>
    <x v="67"/>
    <x v="0"/>
    <x v="2"/>
    <s v="Hong Kong, Hong Kong China"/>
    <s v="LEE Chong Wei"/>
    <x v="36"/>
    <s v="LEE Chong Wei"/>
    <x v="1"/>
    <s v="21-12"/>
    <s v=""/>
    <s v=""/>
  </r>
  <r>
    <s v="LCW305"/>
    <d v="2013-11-24T00:00:00"/>
    <s v="Sunday"/>
    <s v="November"/>
    <x v="6"/>
    <x v="67"/>
    <x v="0"/>
    <x v="3"/>
    <s v="Hong Kong, Hong Kong China"/>
    <s v="LEE Chong Wei"/>
    <x v="19"/>
    <s v="LEE Chong Wei"/>
    <x v="1"/>
    <s v="21-13"/>
    <s v=""/>
    <s v=""/>
  </r>
  <r>
    <s v="LCW306"/>
    <d v="2013-12-11T00:00:00"/>
    <s v="Wednesday"/>
    <s v="December"/>
    <x v="6"/>
    <x v="68"/>
    <x v="2"/>
    <x v="8"/>
    <s v="Kuala lumpur"/>
    <s v="LEE Chong Wei"/>
    <x v="44"/>
    <s v="LEE Chong Wei"/>
    <x v="1"/>
    <s v="21-10"/>
    <s v=""/>
    <s v=""/>
  </r>
  <r>
    <s v="LCW307"/>
    <d v="2013-12-12T00:00:00"/>
    <s v="Thursday"/>
    <s v="December"/>
    <x v="6"/>
    <x v="68"/>
    <x v="2"/>
    <x v="6"/>
    <s v="Kuala lumpur"/>
    <s v="LEE Chong Wei"/>
    <x v="36"/>
    <s v="LEE Chong Wei"/>
    <x v="1"/>
    <s v="21-6"/>
    <s v=""/>
    <s v=""/>
  </r>
  <r>
    <s v="LCW308"/>
    <d v="2013-12-13T00:00:00"/>
    <s v="Friday"/>
    <s v="December"/>
    <x v="6"/>
    <x v="68"/>
    <x v="2"/>
    <x v="7"/>
    <s v="Kuala lumpur"/>
    <s v="LEE Chong Wei"/>
    <x v="37"/>
    <s v="LEE Chong Wei"/>
    <x v="1"/>
    <s v="23-21"/>
    <s v=""/>
    <s v=""/>
  </r>
  <r>
    <s v="LCW309"/>
    <d v="2013-12-14T00:00:00"/>
    <s v="Saturday"/>
    <s v="December"/>
    <x v="6"/>
    <x v="68"/>
    <x v="2"/>
    <x v="2"/>
    <s v="Kuala lumpur"/>
    <s v="LEE Chong Wei"/>
    <x v="37"/>
    <s v="LEE Chong Wei"/>
    <x v="1"/>
    <s v="21-14"/>
    <s v=""/>
    <s v=""/>
  </r>
  <r>
    <s v="LCW310"/>
    <d v="2013-12-15T00:00:00"/>
    <s v="Sunday"/>
    <s v="December"/>
    <x v="6"/>
    <x v="68"/>
    <x v="2"/>
    <x v="3"/>
    <s v="Kuala lumpur"/>
    <s v="LEE Chong Wei"/>
    <x v="62"/>
    <s v="LEE Chong Wei"/>
    <x v="1"/>
    <s v="21-10"/>
    <s v=""/>
    <s v=""/>
  </r>
  <r>
    <s v="LCW311"/>
    <d v="2014-01-08T00:00:00"/>
    <s v="Wednesday"/>
    <s v="January"/>
    <x v="7"/>
    <x v="69"/>
    <x v="0"/>
    <x v="0"/>
    <s v=" Seoul,, Korea"/>
    <s v="LEE Chong Wei"/>
    <x v="51"/>
    <s v="LEE Chong Wei"/>
    <x v="1"/>
    <s v="21-11"/>
    <s v=""/>
    <s v=""/>
  </r>
  <r>
    <s v="LCW312"/>
    <d v="2014-01-09T00:00:00"/>
    <s v="Thursday"/>
    <s v="January"/>
    <x v="7"/>
    <x v="69"/>
    <x v="0"/>
    <x v="1"/>
    <s v=" Seoul,, Korea"/>
    <s v="LEE Chong Wei"/>
    <x v="33"/>
    <s v="LEE Chong Wei"/>
    <x v="1"/>
    <s v="21-14"/>
    <s v=""/>
    <s v=""/>
  </r>
  <r>
    <s v="LCW313"/>
    <d v="2014-01-10T00:00:00"/>
    <s v="Friday"/>
    <s v="January"/>
    <x v="7"/>
    <x v="69"/>
    <x v="0"/>
    <x v="4"/>
    <s v=" Seoul,, Korea"/>
    <s v="LEE Chong Wei"/>
    <x v="49"/>
    <s v="LEE Chong Wei"/>
    <x v="1"/>
    <s v="21-9"/>
    <s v=""/>
    <s v=""/>
  </r>
  <r>
    <s v="LCW314"/>
    <d v="2014-01-11T00:00:00"/>
    <s v="Saturday"/>
    <s v="January"/>
    <x v="7"/>
    <x v="69"/>
    <x v="0"/>
    <x v="2"/>
    <s v=" Seoul,, Korea"/>
    <s v="LEE Chong Wei"/>
    <x v="35"/>
    <s v="LEE Chong Wei"/>
    <x v="1"/>
    <s v="21-17"/>
    <s v=""/>
    <s v=""/>
  </r>
  <r>
    <s v="LCW315"/>
    <d v="2014-01-12T00:00:00"/>
    <s v="Sunday"/>
    <s v="January"/>
    <x v="7"/>
    <x v="69"/>
    <x v="0"/>
    <x v="3"/>
    <s v=" Seoul,, Korea"/>
    <s v="LEE Chong Wei"/>
    <x v="38"/>
    <s v="CHEN Long"/>
    <x v="0"/>
    <s v="14-21"/>
    <s v=""/>
    <s v=""/>
  </r>
  <r>
    <s v="LCW316"/>
    <d v="2014-01-15T00:00:00"/>
    <s v="Wednesday"/>
    <s v="January"/>
    <x v="7"/>
    <x v="70"/>
    <x v="2"/>
    <x v="0"/>
    <s v=" Kuala Lumpur, Malaysia"/>
    <s v="LEE Chong Wei"/>
    <x v="73"/>
    <s v="LEE Chong Wei"/>
    <x v="1"/>
    <s v="21-7"/>
    <s v=""/>
    <s v=""/>
  </r>
  <r>
    <s v="LCW317"/>
    <d v="2014-01-16T00:00:00"/>
    <s v="Thursday"/>
    <s v="January"/>
    <x v="7"/>
    <x v="70"/>
    <x v="2"/>
    <x v="1"/>
    <s v=" Kuala Lumpur, Malaysia"/>
    <s v="LEE Chong Wei"/>
    <x v="44"/>
    <s v="LEE Chong Wei"/>
    <x v="1"/>
    <s v="21-17"/>
    <s v=""/>
    <s v=""/>
  </r>
  <r>
    <s v="LCW318"/>
    <d v="2014-01-17T00:00:00"/>
    <s v="Friday"/>
    <s v="January"/>
    <x v="7"/>
    <x v="70"/>
    <x v="2"/>
    <x v="4"/>
    <s v=" Kuala Lumpur, Malaysia"/>
    <s v="LEE Chong Wei"/>
    <x v="49"/>
    <s v="LEE Chong Wei"/>
    <x v="1"/>
    <s v="21-9"/>
    <s v=""/>
    <s v=""/>
  </r>
  <r>
    <s v="LCW319"/>
    <d v="2014-01-18T00:00:00"/>
    <s v="Saturday"/>
    <s v="January"/>
    <x v="7"/>
    <x v="70"/>
    <x v="2"/>
    <x v="2"/>
    <s v=" Kuala Lumpur, Malaysia"/>
    <s v="LEE Chong Wei"/>
    <x v="37"/>
    <s v="LEE Chong Wei"/>
    <x v="1"/>
    <s v="21-13"/>
    <s v=""/>
    <s v=""/>
  </r>
  <r>
    <s v="LCW320"/>
    <d v="2014-01-19T00:00:00"/>
    <s v="Sunday"/>
    <s v="January"/>
    <x v="7"/>
    <x v="70"/>
    <x v="2"/>
    <x v="3"/>
    <s v=" Kuala Lumpur, Malaysia"/>
    <s v="LEE Chong Wei"/>
    <x v="62"/>
    <s v="LEE Chong Wei"/>
    <x v="1"/>
    <s v="21-19"/>
    <s v=""/>
    <s v=""/>
  </r>
  <r>
    <s v="LCW321"/>
    <d v="2014-03-05T00:00:00"/>
    <s v="Wednesday"/>
    <s v="March"/>
    <x v="7"/>
    <x v="71"/>
    <x v="2"/>
    <x v="0"/>
    <s v="Birmingham, England"/>
    <s v="LEE Chong Wei"/>
    <x v="22"/>
    <s v="LEE Chong Wei"/>
    <x v="1"/>
    <s v="21-15"/>
    <s v=""/>
    <s v=""/>
  </r>
  <r>
    <s v="LCW322"/>
    <d v="2014-03-06T00:00:00"/>
    <s v="Thursday"/>
    <s v="March"/>
    <x v="7"/>
    <x v="71"/>
    <x v="2"/>
    <x v="1"/>
    <s v="Birmingham, England"/>
    <s v="LEE Chong Wei"/>
    <x v="76"/>
    <s v="LEE Chong Wei"/>
    <x v="1"/>
    <s v="21-6"/>
    <s v=""/>
    <s v=""/>
  </r>
  <r>
    <s v="LCW323"/>
    <d v="2014-03-07T00:00:00"/>
    <s v="Friday"/>
    <s v="March"/>
    <x v="7"/>
    <x v="71"/>
    <x v="2"/>
    <x v="4"/>
    <s v="Birmingham, England"/>
    <s v="LEE Chong Wei"/>
    <x v="86"/>
    <s v="LEE Chong Wei"/>
    <x v="1"/>
    <s v="21-14"/>
    <s v=""/>
    <s v=""/>
  </r>
  <r>
    <s v="LCW324"/>
    <d v="2014-03-08T00:00:00"/>
    <s v="Saturday"/>
    <s v="March"/>
    <x v="7"/>
    <x v="71"/>
    <x v="2"/>
    <x v="2"/>
    <s v="Birmingham, England"/>
    <s v="LEE Chong Wei"/>
    <x v="51"/>
    <s v="LEE Chong Wei"/>
    <x v="1"/>
    <s v="14-21"/>
    <s v="21-19"/>
    <s v="21-15"/>
  </r>
  <r>
    <s v="LCW325"/>
    <d v="2014-03-09T00:00:00"/>
    <s v="Sunday"/>
    <s v="March"/>
    <x v="7"/>
    <x v="71"/>
    <x v="2"/>
    <x v="3"/>
    <s v="Birmingham, England"/>
    <s v="LEE Chong Wei"/>
    <x v="38"/>
    <s v="LEE Chong Wei"/>
    <x v="1"/>
    <s v="21-13"/>
    <s v=""/>
    <s v=""/>
  </r>
  <r>
    <s v="LCW326"/>
    <d v="2014-04-02T00:00:00"/>
    <s v="Wednesday"/>
    <s v="April"/>
    <x v="7"/>
    <x v="72"/>
    <x v="0"/>
    <x v="0"/>
    <s v="New Delhi, India"/>
    <s v="LEE Chong Wei"/>
    <x v="87"/>
    <s v="LEE Chong Wei"/>
    <x v="1"/>
    <s v="21-9"/>
    <s v=""/>
    <s v=""/>
  </r>
  <r>
    <s v="LCW327"/>
    <d v="2014-04-03T00:00:00"/>
    <s v="Thursday"/>
    <s v="April"/>
    <x v="7"/>
    <x v="72"/>
    <x v="0"/>
    <x v="1"/>
    <s v="New Delhi, India"/>
    <s v="LEE Chong Wei"/>
    <x v="63"/>
    <s v="LEE Chong Wei"/>
    <x v="1"/>
    <s v="21-9"/>
    <s v=""/>
    <s v=""/>
  </r>
  <r>
    <s v="LCW328"/>
    <d v="2014-04-04T00:00:00"/>
    <s v="Friday"/>
    <s v="April"/>
    <x v="7"/>
    <x v="72"/>
    <x v="0"/>
    <x v="4"/>
    <s v="New Delhi, India"/>
    <s v="LEE Chong Wei"/>
    <x v="67"/>
    <s v="LEE Chong Wei"/>
    <x v="1"/>
    <s v="21-15"/>
    <s v=""/>
    <s v=""/>
  </r>
  <r>
    <s v="LCW329"/>
    <d v="2014-04-05T00:00:00"/>
    <s v="Saturday"/>
    <s v="April"/>
    <x v="7"/>
    <x v="72"/>
    <x v="0"/>
    <x v="2"/>
    <s v="New Delhi, India"/>
    <s v="LEE Chong Wei"/>
    <x v="49"/>
    <s v="LEE Chong Wei"/>
    <x v="1"/>
    <s v="21-17"/>
    <s v="19-21"/>
    <s v="21-14"/>
  </r>
  <r>
    <s v="LCW330"/>
    <d v="2014-04-06T00:00:00"/>
    <s v="Sunday"/>
    <s v="April"/>
    <x v="7"/>
    <x v="72"/>
    <x v="0"/>
    <x v="3"/>
    <s v="New Delhi, India"/>
    <s v="LEE Chong Wei"/>
    <x v="38"/>
    <s v="LEE Chong Wei"/>
    <x v="1"/>
    <s v="21-13"/>
    <s v=""/>
    <s v=""/>
  </r>
  <r>
    <s v="LCW331"/>
    <d v="2014-04-09T00:00:00"/>
    <s v="Wednesday"/>
    <s v="April"/>
    <x v="7"/>
    <x v="73"/>
    <x v="0"/>
    <x v="0"/>
    <s v="Singapore, Singapore"/>
    <s v="LEE Chong Wei"/>
    <x v="88"/>
    <s v="LEE Chong Wei"/>
    <x v="1"/>
    <s v="21-17"/>
    <s v=""/>
    <s v=""/>
  </r>
  <r>
    <s v="LCW332"/>
    <d v="2014-04-10T00:00:00"/>
    <s v="Thursday"/>
    <s v="April"/>
    <x v="7"/>
    <x v="73"/>
    <x v="0"/>
    <x v="1"/>
    <s v="Singapore, Singapore"/>
    <s v="LEE Chong Wei"/>
    <x v="89"/>
    <s v="LEE Chong Wei"/>
    <x v="1"/>
    <s v="21-11"/>
    <s v=""/>
    <s v=""/>
  </r>
  <r>
    <s v="LCW333"/>
    <d v="2014-04-11T00:00:00"/>
    <s v="Friday"/>
    <s v="April"/>
    <x v="7"/>
    <x v="73"/>
    <x v="0"/>
    <x v="4"/>
    <s v="Singapore, Singapore"/>
    <s v="LEE Chong Wei"/>
    <x v="22"/>
    <s v="LEE Chong Wei"/>
    <x v="1"/>
    <s v="21-8"/>
    <s v=""/>
    <s v=""/>
  </r>
  <r>
    <s v="LCW334"/>
    <d v="2014-04-12T00:00:00"/>
    <s v="Saturday"/>
    <s v="April"/>
    <x v="7"/>
    <x v="73"/>
    <x v="0"/>
    <x v="2"/>
    <s v="Singapore, Singapore"/>
    <s v="LEE Chong Wei"/>
    <x v="85"/>
    <s v="LEE Chong Wei"/>
    <x v="1"/>
    <s v="21-19"/>
    <s v=""/>
    <s v=""/>
  </r>
  <r>
    <s v="LCW335"/>
    <d v="2014-04-13T00:00:00"/>
    <s v="Sunday"/>
    <s v="April"/>
    <x v="7"/>
    <x v="73"/>
    <x v="0"/>
    <x v="3"/>
    <s v="Singapore, Singapore"/>
    <s v="LEE Chong Wei"/>
    <x v="3"/>
    <s v="Simon SANTOSO"/>
    <x v="0"/>
    <s v="15-21"/>
    <s v=""/>
    <s v=""/>
  </r>
  <r>
    <s v="LCW336"/>
    <d v="2014-06-11T00:00:00"/>
    <s v="Wednesday"/>
    <s v="June"/>
    <x v="7"/>
    <x v="74"/>
    <x v="0"/>
    <x v="0"/>
    <s v="Tokyo, Japan"/>
    <s v="LEE Chong Wei"/>
    <x v="90"/>
    <s v="LEE Chong Wei"/>
    <x v="1"/>
    <s v="21-15"/>
    <s v=""/>
    <s v=""/>
  </r>
  <r>
    <s v="LCW337"/>
    <d v="2014-06-12T00:00:00"/>
    <s v="Thursday"/>
    <s v="June"/>
    <x v="7"/>
    <x v="74"/>
    <x v="0"/>
    <x v="1"/>
    <s v="Tokyo, Japan"/>
    <s v="LEE Chong Wei"/>
    <x v="33"/>
    <s v="LEE Chong Wei"/>
    <x v="1"/>
    <s v="21-13"/>
    <s v=""/>
    <s v=""/>
  </r>
  <r>
    <s v="LCW338"/>
    <d v="2014-06-13T00:00:00"/>
    <s v="Friday"/>
    <s v="June"/>
    <x v="7"/>
    <x v="74"/>
    <x v="0"/>
    <x v="4"/>
    <s v="Tokyo, Japan"/>
    <s v="LEE Chong Wei"/>
    <x v="62"/>
    <s v="LEE Chong Wei"/>
    <x v="1"/>
    <s v="21-15"/>
    <s v="12-21"/>
    <s v="21-17"/>
  </r>
  <r>
    <s v="LCW339"/>
    <d v="2014-06-14T00:00:00"/>
    <s v="Saturday"/>
    <s v="June"/>
    <x v="7"/>
    <x v="74"/>
    <x v="0"/>
    <x v="2"/>
    <s v="Tokyo, Japan"/>
    <s v="LEE Chong Wei"/>
    <x v="35"/>
    <s v="LEE Chong Wei"/>
    <x v="1"/>
    <s v="21-15"/>
    <s v=""/>
    <s v=""/>
  </r>
  <r>
    <s v="LCW340"/>
    <d v="2014-06-15T00:00:00"/>
    <s v="Sunday"/>
    <s v="June"/>
    <x v="7"/>
    <x v="74"/>
    <x v="0"/>
    <x v="3"/>
    <s v="Tokyo, Japan"/>
    <s v="LEE Chong Wei"/>
    <x v="42"/>
    <s v="LEE Chong Wei"/>
    <x v="1"/>
    <s v="21-14"/>
    <s v=""/>
    <s v=""/>
  </r>
  <r>
    <s v="LCW341"/>
    <d v="2014-06-18T00:00:00"/>
    <s v="Wednesday"/>
    <s v="June"/>
    <x v="7"/>
    <x v="75"/>
    <x v="2"/>
    <x v="0"/>
    <s v="Jakarta, Indonesia"/>
    <s v="LEE Chong Wei"/>
    <x v="19"/>
    <s v="LEE Chong Wei"/>
    <x v="1"/>
    <s v="21-7"/>
    <s v=""/>
    <s v=""/>
  </r>
  <r>
    <s v="LCW342"/>
    <d v="2014-06-19T00:00:00"/>
    <s v="Thursday"/>
    <s v="June"/>
    <x v="7"/>
    <x v="75"/>
    <x v="2"/>
    <x v="1"/>
    <s v="Jakarta, Indonesia"/>
    <s v="LEE Chong Wei"/>
    <x v="52"/>
    <s v="LEE Chong Wei"/>
    <x v="1"/>
    <s v="21-4"/>
    <s v=""/>
    <s v=""/>
  </r>
  <r>
    <s v="LCW343"/>
    <d v="2014-06-20T00:00:00"/>
    <s v="Friday"/>
    <s v="June"/>
    <x v="7"/>
    <x v="75"/>
    <x v="2"/>
    <x v="4"/>
    <s v="Jakarta, Indonesia"/>
    <s v="LEE Chong Wei"/>
    <x v="73"/>
    <s v="LEE Chong Wei"/>
    <x v="1"/>
    <s v="21-18"/>
    <s v=""/>
    <s v=""/>
  </r>
  <r>
    <s v="LCW344"/>
    <d v="2014-06-21T00:00:00"/>
    <s v="Saturday"/>
    <s v="June"/>
    <x v="7"/>
    <x v="75"/>
    <x v="2"/>
    <x v="2"/>
    <s v="Jakarta, Indonesia"/>
    <s v="LEE Chong Wei"/>
    <x v="35"/>
    <s v="Kenichi TAGO"/>
    <x v="0"/>
    <s v="16-21"/>
    <s v="21-15"/>
    <s v="16-21"/>
  </r>
  <r>
    <s v="LCW345"/>
    <d v="2014-08-25T00:00:00"/>
    <s v="Monday"/>
    <s v="August"/>
    <x v="7"/>
    <x v="76"/>
    <x v="3"/>
    <x v="5"/>
    <s v="Copenhagen , Denmark"/>
    <s v="LEE Chong Wei"/>
    <x v="84"/>
    <s v="LEE Chong Wei"/>
    <x v="1"/>
    <s v="21-11"/>
    <s v=""/>
    <s v=""/>
  </r>
  <r>
    <s v="LCW346"/>
    <d v="2014-08-27T00:00:00"/>
    <s v="Wednesday"/>
    <s v="August"/>
    <x v="7"/>
    <x v="76"/>
    <x v="3"/>
    <x v="0"/>
    <s v="Copenhagen , Denmark"/>
    <s v="LEE Chong Wei"/>
    <x v="91"/>
    <s v="LEE Chong Wei"/>
    <x v="1"/>
    <s v="21-12"/>
    <s v=""/>
    <s v=""/>
  </r>
  <r>
    <s v="LCW347"/>
    <d v="2014-08-28T00:00:00"/>
    <s v="Thursday"/>
    <s v="August"/>
    <x v="7"/>
    <x v="76"/>
    <x v="3"/>
    <x v="1"/>
    <s v="Copenhagen , Denmark"/>
    <s v="LEE Chong Wei"/>
    <x v="80"/>
    <s v="LEE Chong Wei"/>
    <x v="1"/>
    <s v="21-11"/>
    <s v=""/>
    <s v=""/>
  </r>
  <r>
    <s v="LCW348"/>
    <d v="2014-08-29T00:00:00"/>
    <s v="Friday"/>
    <s v="August"/>
    <x v="7"/>
    <x v="76"/>
    <x v="3"/>
    <x v="4"/>
    <s v="Copenhagen , Denmark"/>
    <s v="LEE Chong Wei"/>
    <x v="44"/>
    <s v="LEE Chong Wei"/>
    <x v="1"/>
    <s v="21-8"/>
    <s v=""/>
    <s v=""/>
  </r>
  <r>
    <s v="LCW349"/>
    <d v="2014-08-30T00:00:00"/>
    <s v="Saturday"/>
    <s v="August"/>
    <x v="7"/>
    <x v="76"/>
    <x v="3"/>
    <x v="2"/>
    <s v="Copenhagen , Denmark"/>
    <s v="LEE Chong Wei"/>
    <x v="70"/>
    <s v="LEE Chong Wei"/>
    <x v="1"/>
    <s v="21-9"/>
    <s v=""/>
    <s v=""/>
  </r>
  <r>
    <s v="LCW350"/>
    <d v="2014-08-31T00:00:00"/>
    <s v="Sunday"/>
    <s v="August"/>
    <x v="7"/>
    <x v="76"/>
    <x v="3"/>
    <x v="3"/>
    <s v="Copenhagen , Denmark"/>
    <s v="LEE Chong Wei"/>
    <x v="38"/>
    <s v="CHEN Long"/>
    <x v="0"/>
    <s v="19-21"/>
    <s v=""/>
    <s v=""/>
  </r>
  <r>
    <s v="LCW351"/>
    <d v="2015-06-16T00:00:00"/>
    <s v="Tuesday"/>
    <s v="June"/>
    <x v="8"/>
    <x v="77"/>
    <x v="1"/>
    <x v="5"/>
    <s v="Brentwood, USA"/>
    <s v="LEE Chong Wei"/>
    <x v="81"/>
    <s v="LEE Chong Wei"/>
    <x v="1"/>
    <s v="21-14"/>
    <s v=""/>
    <s v=""/>
  </r>
  <r>
    <s v="LCW352"/>
    <d v="2015-06-18T00:00:00"/>
    <s v="Thursday"/>
    <s v="June"/>
    <x v="8"/>
    <x v="77"/>
    <x v="1"/>
    <x v="1"/>
    <s v="Brentwood, USA"/>
    <s v="LEE Chong Wei"/>
    <x v="92"/>
    <s v="LEE Chong Wei"/>
    <x v="1"/>
    <s v="21-17"/>
    <s v=""/>
    <s v=""/>
  </r>
  <r>
    <s v="LCW353"/>
    <d v="2015-06-19T00:00:00"/>
    <s v="Friday"/>
    <s v="June"/>
    <x v="8"/>
    <x v="77"/>
    <x v="1"/>
    <x v="4"/>
    <s v="Brentwood, USA"/>
    <s v="LEE Chong Wei"/>
    <x v="48"/>
    <s v="LEE Chong Wei"/>
    <x v="1"/>
    <s v="21-9"/>
    <s v=""/>
    <s v=""/>
  </r>
  <r>
    <s v="LCW354"/>
    <d v="2015-06-25T00:00:00"/>
    <s v="Thursday"/>
    <s v="June"/>
    <x v="8"/>
    <x v="78"/>
    <x v="4"/>
    <x v="1"/>
    <s v="Calgary, Canada"/>
    <s v="LEE Chong Wei"/>
    <x v="56"/>
    <s v="LEE Chong Wei"/>
    <x v="1"/>
    <s v="21-17"/>
    <s v="20-22"/>
    <s v="21-10"/>
  </r>
  <r>
    <s v="LCW355"/>
    <d v="2015-06-26T00:00:00"/>
    <s v="Friday"/>
    <s v="June"/>
    <x v="8"/>
    <x v="78"/>
    <x v="4"/>
    <x v="4"/>
    <s v="Calgary, Canada"/>
    <s v="LEE Chong Wei"/>
    <x v="75"/>
    <s v="LEE Chong Wei"/>
    <x v="1"/>
    <s v="21-13"/>
    <s v="18-21"/>
    <s v="21-11"/>
  </r>
  <r>
    <s v="LCW356"/>
    <d v="2015-06-27T00:00:00"/>
    <s v="Saturday"/>
    <s v="June"/>
    <x v="8"/>
    <x v="78"/>
    <x v="4"/>
    <x v="2"/>
    <s v="Calgary, Canada"/>
    <s v="LEE Chong Wei"/>
    <x v="65"/>
    <s v="LEE Chong Wei"/>
    <x v="1"/>
    <s v="16-21"/>
    <s v="21-10"/>
    <s v="21-12"/>
  </r>
  <r>
    <s v="LCW357"/>
    <d v="2015-09-08T00:00:00"/>
    <s v="Tuesday"/>
    <s v="September"/>
    <x v="8"/>
    <x v="43"/>
    <x v="0"/>
    <x v="9"/>
    <s v="Tokyo, Japan"/>
    <s v="LEE Chong Wei"/>
    <x v="93"/>
    <s v="LEE Chong Wei"/>
    <x v="1"/>
    <s v="21-3"/>
    <s v=""/>
    <s v=""/>
  </r>
  <r>
    <s v="LCW358"/>
    <d v="2015-09-08T00:00:00"/>
    <s v="Tuesday"/>
    <s v="September"/>
    <x v="8"/>
    <x v="43"/>
    <x v="0"/>
    <x v="10"/>
    <s v="Tokyo, Japan"/>
    <s v="LEE Chong Wei"/>
    <x v="94"/>
    <s v="LEE Chong Wei"/>
    <x v="1"/>
    <s v="21-10"/>
    <s v=""/>
    <s v=""/>
  </r>
  <r>
    <s v="LCW359"/>
    <d v="2015-09-15T00:00:00"/>
    <s v="Tuesday"/>
    <s v="September"/>
    <x v="8"/>
    <x v="69"/>
    <x v="0"/>
    <x v="9"/>
    <s v="Seoul, Korea"/>
    <s v="LEE Chong Wei"/>
    <x v="94"/>
    <s v="HEO Kwang Hee"/>
    <x v="0"/>
    <s v="19-21"/>
    <s v=""/>
    <s v=""/>
  </r>
  <r>
    <s v="LCW360"/>
    <d v="2015-10-15T00:00:00"/>
    <s v="Thursday"/>
    <s v="October"/>
    <x v="8"/>
    <x v="79"/>
    <x v="2"/>
    <x v="1"/>
    <s v="Odense, Denmark"/>
    <s v="LEE Chong Wei"/>
    <x v="88"/>
    <s v="WEI Nan"/>
    <x v="0"/>
    <s v="18-21"/>
    <s v=""/>
    <s v=""/>
  </r>
  <r>
    <s v="LCW361"/>
    <d v="2015-10-21T00:00:00"/>
    <s v="Wednesday"/>
    <s v="October"/>
    <x v="8"/>
    <x v="80"/>
    <x v="0"/>
    <x v="0"/>
    <s v="Paris, France"/>
    <s v="LEE Chong Wei"/>
    <x v="52"/>
    <s v="LEE Chong Wei"/>
    <x v="1"/>
    <s v="21-7"/>
    <s v=""/>
    <s v=""/>
  </r>
  <r>
    <s v="LCW362"/>
    <d v="2015-10-25T00:00:00"/>
    <s v="Sunday"/>
    <s v="October"/>
    <x v="8"/>
    <x v="80"/>
    <x v="0"/>
    <x v="3"/>
    <s v="Paris, France"/>
    <s v="LEE Chong Wei"/>
    <x v="95"/>
    <s v="LEE Chong Wei"/>
    <x v="1"/>
    <s v="21-13"/>
    <s v=""/>
    <s v=""/>
  </r>
  <r>
    <s v="LCW363"/>
    <d v="2015-11-11T00:00:00"/>
    <s v="Wednesday"/>
    <s v="November"/>
    <x v="8"/>
    <x v="81"/>
    <x v="2"/>
    <x v="0"/>
    <s v="Fuzhou, China"/>
    <s v="LEE Chong Wei"/>
    <x v="96"/>
    <s v="LEE Chong Wei"/>
    <x v="1"/>
    <s v="21-10"/>
    <s v=""/>
    <s v=""/>
  </r>
  <r>
    <s v="LCW364"/>
    <d v="2015-11-12T00:00:00"/>
    <s v="Thursday"/>
    <s v="November"/>
    <x v="8"/>
    <x v="81"/>
    <x v="2"/>
    <x v="1"/>
    <s v="Fuzhou, China"/>
    <s v="LEE Chong Wei"/>
    <x v="95"/>
    <s v="LEE Chong Wei"/>
    <x v="1"/>
    <s v="21-9"/>
    <s v="15-21"/>
    <s v="21-12"/>
  </r>
  <r>
    <s v="LCW365"/>
    <d v="2015-11-13T00:00:00"/>
    <s v="Friday"/>
    <s v="November"/>
    <x v="8"/>
    <x v="81"/>
    <x v="2"/>
    <x v="4"/>
    <s v="Fuzhou, China"/>
    <s v="LEE Chong Wei"/>
    <x v="37"/>
    <s v="LEE Chong Wei"/>
    <x v="1"/>
    <s v="21-11"/>
    <s v="11-21"/>
    <s v="21-10"/>
  </r>
  <r>
    <s v="LCW366"/>
    <d v="2015-11-19T00:00:00"/>
    <s v="Thursday"/>
    <s v="November"/>
    <x v="8"/>
    <x v="82"/>
    <x v="0"/>
    <x v="1"/>
    <s v="Kowloon, Hong Kong China"/>
    <s v="LEE Chong Wei"/>
    <x v="33"/>
    <s v="LEE Chong Wei"/>
    <x v="1"/>
    <s v="21-12"/>
    <s v=""/>
    <s v=""/>
  </r>
  <r>
    <s v="LCW367"/>
    <d v="2015-11-21T00:00:00"/>
    <s v="Saturday"/>
    <s v="November"/>
    <x v="8"/>
    <x v="82"/>
    <x v="0"/>
    <x v="2"/>
    <s v="Kowloon, Hong Kong China"/>
    <s v="LEE Chong Wei"/>
    <x v="96"/>
    <s v="LEE Chong Wei"/>
    <x v="1"/>
    <s v="21-19"/>
    <s v=""/>
    <s v=""/>
  </r>
  <r>
    <s v="LCW368"/>
    <d v="2015-11-22T00:00:00"/>
    <s v="Sunday"/>
    <s v="November"/>
    <x v="8"/>
    <x v="82"/>
    <x v="0"/>
    <x v="3"/>
    <s v="Kowloon, Hong Kong China"/>
    <s v="LEE Chong Wei"/>
    <x v="79"/>
    <s v="LEE Chong Wei"/>
    <x v="1"/>
    <s v="21-16"/>
    <s v=""/>
    <s v=""/>
  </r>
  <r>
    <s v="LCW369"/>
    <d v="2016-01-20T00:00:00"/>
    <s v="Wednesday"/>
    <s v="January"/>
    <x v="9"/>
    <x v="83"/>
    <x v="1"/>
    <x v="5"/>
    <s v="Penang, Malaysia"/>
    <s v="LEE Chong Wei"/>
    <x v="97"/>
    <s v="LEE Chong Wei"/>
    <x v="1"/>
    <s v="21-14"/>
    <s v=""/>
    <s v=""/>
  </r>
  <r>
    <s v="LCW370"/>
    <d v="2016-01-20T00:00:00"/>
    <s v="Wednesday"/>
    <s v="January"/>
    <x v="9"/>
    <x v="83"/>
    <x v="1"/>
    <x v="0"/>
    <s v="Penang, Malaysia"/>
    <s v="LEE Chong Wei"/>
    <x v="98"/>
    <s v="LEE Chong Wei"/>
    <x v="1"/>
    <s v="21-6"/>
    <s v=""/>
    <s v=""/>
  </r>
  <r>
    <s v="LCW371"/>
    <d v="2016-01-21T00:00:00"/>
    <s v="Thursday"/>
    <s v="January"/>
    <x v="9"/>
    <x v="83"/>
    <x v="1"/>
    <x v="1"/>
    <s v="Penang, Malaysia"/>
    <s v="LEE Chong Wei"/>
    <x v="39"/>
    <s v="LEE Chong Wei"/>
    <x v="1"/>
    <s v="21-10"/>
    <s v=""/>
    <s v=""/>
  </r>
  <r>
    <s v="LCW372"/>
    <d v="2016-01-22T00:00:00"/>
    <s v="Friday"/>
    <s v="January"/>
    <x v="9"/>
    <x v="83"/>
    <x v="1"/>
    <x v="4"/>
    <s v="Penang, Malaysia"/>
    <s v="LEE Chong Wei"/>
    <x v="57"/>
    <s v="LEE Chong Wei"/>
    <x v="1"/>
    <s v="21-16"/>
    <s v=""/>
    <s v=""/>
  </r>
  <r>
    <s v="LCW373"/>
    <d v="2016-01-23T00:00:00"/>
    <s v="Saturday"/>
    <s v="January"/>
    <x v="9"/>
    <x v="83"/>
    <x v="1"/>
    <x v="2"/>
    <s v="Penang, Malaysia"/>
    <s v="LEE Chong Wei"/>
    <x v="62"/>
    <s v="LEE Chong Wei"/>
    <x v="1"/>
    <s v="21-19"/>
    <s v=""/>
    <s v=""/>
  </r>
  <r>
    <s v="LCW374"/>
    <d v="2016-01-24T00:00:00"/>
    <s v="Sunday"/>
    <s v="January"/>
    <x v="9"/>
    <x v="83"/>
    <x v="1"/>
    <x v="3"/>
    <s v="Penang, Malaysia"/>
    <s v="LEE Chong Wei"/>
    <x v="99"/>
    <s v="LEE Chong Wei"/>
    <x v="1"/>
    <s v="21-18"/>
    <s v=""/>
    <s v=""/>
  </r>
  <r>
    <s v="LCW375"/>
    <d v="2016-03-30T00:00:00"/>
    <s v="Wednesday"/>
    <s v="March"/>
    <x v="9"/>
    <x v="84"/>
    <x v="0"/>
    <x v="0"/>
    <s v="New Delhi, India"/>
    <s v="LEE Chong Wei"/>
    <x v="81"/>
    <s v="LEE Chong Wei"/>
    <x v="1"/>
    <s v="21-11"/>
    <s v=""/>
    <s v=""/>
  </r>
  <r>
    <s v="LCW376"/>
    <d v="2016-03-31T00:00:00"/>
    <s v="Thursday"/>
    <s v="March"/>
    <x v="9"/>
    <x v="84"/>
    <x v="0"/>
    <x v="1"/>
    <s v="New Delhi, India"/>
    <s v="LEE Chong Wei"/>
    <x v="88"/>
    <s v="WEI Nan"/>
    <x v="0"/>
    <s v="19-21"/>
    <s v=""/>
    <s v=""/>
  </r>
  <r>
    <s v="LCW377"/>
    <d v="2016-08-11T00:00:00"/>
    <s v="Thursday"/>
    <s v="August"/>
    <x v="9"/>
    <x v="85"/>
    <x v="3"/>
    <x v="8"/>
    <s v="Rio, Brazil"/>
    <s v="LEE Chong Wei"/>
    <x v="100"/>
    <s v="LEE Chong Wei"/>
    <x v="1"/>
    <s v="21-2"/>
    <s v=""/>
    <s v=""/>
  </r>
  <r>
    <s v="LCW378"/>
    <d v="2016-08-14T00:00:00"/>
    <s v="Sunday"/>
    <s v="August"/>
    <x v="9"/>
    <x v="85"/>
    <x v="3"/>
    <x v="7"/>
    <s v="Rio, Brazil"/>
    <s v="LEE Chong Wei"/>
    <x v="39"/>
    <s v="LEE Chong Wei"/>
    <x v="1"/>
    <s v="21-18"/>
    <s v=""/>
    <s v=""/>
  </r>
  <r>
    <s v="LCW379"/>
    <d v="2016-08-17T00:00:00"/>
    <s v="Wednesday"/>
    <s v="August"/>
    <x v="9"/>
    <x v="85"/>
    <x v="3"/>
    <x v="4"/>
    <s v="Rio, Brazil"/>
    <s v="LEE Chong Wei"/>
    <x v="95"/>
    <s v="LEE Chong Wei"/>
    <x v="1"/>
    <s v="21-9"/>
    <s v=""/>
    <s v=""/>
  </r>
  <r>
    <s v="LCW380"/>
    <d v="2016-08-19T00:00:00"/>
    <s v="Friday"/>
    <s v="August"/>
    <x v="9"/>
    <x v="85"/>
    <x v="3"/>
    <x v="2"/>
    <s v="Rio, Brazil"/>
    <s v="LEE Chong Wei"/>
    <x v="29"/>
    <s v="LEE Chong Wei"/>
    <x v="1"/>
    <s v="15-21"/>
    <s v="21-11"/>
    <s v="22-20"/>
  </r>
  <r>
    <s v="LCW381"/>
    <d v="2016-08-20T00:00:00"/>
    <s v="Saturday"/>
    <s v="August"/>
    <x v="9"/>
    <x v="85"/>
    <x v="3"/>
    <x v="3"/>
    <s v="Rio, Brazil"/>
    <s v="LEE Chong Wei"/>
    <x v="38"/>
    <s v="CHEN Long"/>
    <x v="0"/>
    <s v="18-21"/>
    <s v=""/>
    <s v=""/>
  </r>
  <r>
    <s v="LCW382"/>
    <d v="2016-09-21T00:00:00"/>
    <s v="Wednesday"/>
    <s v="September"/>
    <x v="9"/>
    <x v="43"/>
    <x v="0"/>
    <x v="0"/>
    <s v="Tokyo, Japan"/>
    <s v="LEE Chong Wei"/>
    <x v="36"/>
    <s v="LEE Chong Wei"/>
    <x v="1"/>
    <s v="21-14"/>
    <s v=""/>
    <s v=""/>
  </r>
  <r>
    <s v="LCW383"/>
    <d v="2016-09-22T00:00:00"/>
    <s v="Thursday"/>
    <s v="September"/>
    <x v="9"/>
    <x v="43"/>
    <x v="0"/>
    <x v="1"/>
    <s v="Tokyo, Japan"/>
    <s v="LEE Chong Wei"/>
    <x v="78"/>
    <s v="LEE Chong Wei"/>
    <x v="1"/>
    <s v="21-8"/>
    <s v=""/>
    <s v=""/>
  </r>
  <r>
    <s v="LCW384"/>
    <d v="2016-09-23T00:00:00"/>
    <s v="Friday"/>
    <s v="September"/>
    <x v="9"/>
    <x v="43"/>
    <x v="0"/>
    <x v="4"/>
    <s v="Tokyo, Japan"/>
    <s v="LEE Chong Wei"/>
    <x v="101"/>
    <s v="LEE Chong Wei"/>
    <x v="1"/>
    <s v="21-12"/>
    <s v=""/>
    <s v=""/>
  </r>
  <r>
    <s v="LCW385"/>
    <d v="2016-09-24T00:00:00"/>
    <s v="Saturday"/>
    <s v="September"/>
    <x v="9"/>
    <x v="43"/>
    <x v="0"/>
    <x v="2"/>
    <s v="Tokyo, Japan"/>
    <s v="LEE Chong Wei"/>
    <x v="33"/>
    <s v="LEE Chong Wei"/>
    <x v="1"/>
    <s v="21-14"/>
    <s v=""/>
    <s v=""/>
  </r>
  <r>
    <s v="LCW386"/>
    <d v="2016-09-25T00:00:00"/>
    <s v="Sunday"/>
    <s v="September"/>
    <x v="9"/>
    <x v="43"/>
    <x v="0"/>
    <x v="3"/>
    <s v="Tokyo, Japan"/>
    <s v="LEE Chong Wei"/>
    <x v="37"/>
    <s v="LEE Chong Wei"/>
    <x v="1"/>
    <s v="21-18"/>
    <s v="15-21"/>
    <s v="21-16"/>
  </r>
  <r>
    <s v="LCW387"/>
    <d v="2016-10-19T00:00:00"/>
    <s v="Wednesday"/>
    <s v="October"/>
    <x v="9"/>
    <x v="79"/>
    <x v="2"/>
    <x v="0"/>
    <s v="Odense, Denmark"/>
    <s v="LEE Chong Wei"/>
    <x v="88"/>
    <s v="LEE Chong Wei"/>
    <x v="1"/>
    <s v="16-21"/>
    <s v="21-19"/>
    <s v="21-11"/>
  </r>
  <r>
    <s v="LCW388"/>
    <d v="2016-10-20T00:00:00"/>
    <s v="Thursday"/>
    <s v="October"/>
    <x v="9"/>
    <x v="79"/>
    <x v="2"/>
    <x v="1"/>
    <s v="Odense, Denmark"/>
    <s v="LEE Chong Wei"/>
    <x v="82"/>
    <s v="LEE Chong Wei"/>
    <x v="1"/>
    <s v="21-10"/>
    <s v=""/>
    <s v=""/>
  </r>
  <r>
    <s v="LCW389"/>
    <d v="2016-10-21T00:00:00"/>
    <s v="Friday"/>
    <s v="October"/>
    <x v="9"/>
    <x v="79"/>
    <x v="2"/>
    <x v="4"/>
    <s v="Odense, Denmark"/>
    <s v="LEE Chong Wei"/>
    <x v="52"/>
    <s v="Brice LEVERDEZ"/>
    <x v="0"/>
    <s v="17-21"/>
    <s v="22-20"/>
    <s v="19-21"/>
  </r>
  <r>
    <s v="LCW390"/>
    <d v="2017-03-08T00:00:00"/>
    <s v="Wednesday"/>
    <s v="March"/>
    <x v="10"/>
    <x v="71"/>
    <x v="2"/>
    <x v="0"/>
    <s v="Birmingham, England"/>
    <s v="LEE Chong Wei"/>
    <x v="52"/>
    <s v="LEE Chong Wei"/>
    <x v="1"/>
    <s v="21-15"/>
    <s v=""/>
    <s v=""/>
  </r>
  <r>
    <s v="LCW391"/>
    <d v="2017-03-09T00:00:00"/>
    <s v="Thursday"/>
    <s v="March"/>
    <x v="10"/>
    <x v="71"/>
    <x v="2"/>
    <x v="1"/>
    <s v="Birmingham, England"/>
    <s v="LEE Chong Wei"/>
    <x v="102"/>
    <s v="LEE Chong Wei"/>
    <x v="1"/>
    <s v="21-18"/>
    <s v=""/>
    <s v=""/>
  </r>
  <r>
    <s v="LCW392"/>
    <d v="2017-03-10T00:00:00"/>
    <s v="Friday"/>
    <s v="March"/>
    <x v="10"/>
    <x v="71"/>
    <x v="2"/>
    <x v="4"/>
    <s v="Birmingham, England"/>
    <s v="LEE Chong Wei"/>
    <x v="79"/>
    <s v="LEE Chong Wei"/>
    <x v="1"/>
    <s v="21-12"/>
    <s v=""/>
    <s v=""/>
  </r>
  <r>
    <s v="LCW393"/>
    <d v="2017-03-11T00:00:00"/>
    <s v="Saturday"/>
    <s v="March"/>
    <x v="10"/>
    <x v="71"/>
    <x v="2"/>
    <x v="2"/>
    <s v="Birmingham, England"/>
    <s v="LEE Chong Wei"/>
    <x v="95"/>
    <s v="LEE Chong Wei"/>
    <x v="1"/>
    <s v="10-21"/>
    <s v="21-14"/>
    <s v="21-9"/>
  </r>
  <r>
    <s v="LCW394"/>
    <d v="2017-03-12T00:00:00"/>
    <s v="Sunday"/>
    <s v="March"/>
    <x v="10"/>
    <x v="71"/>
    <x v="2"/>
    <x v="3"/>
    <s v="Birmingham, England"/>
    <s v="LEE Chong Wei"/>
    <x v="101"/>
    <s v="LEE Chong Wei"/>
    <x v="1"/>
    <s v="21-12"/>
    <s v=""/>
    <s v=""/>
  </r>
  <r>
    <s v="LCW395"/>
    <d v="2017-04-05T00:00:00"/>
    <s v="Wednesday"/>
    <s v="April"/>
    <x v="10"/>
    <x v="86"/>
    <x v="2"/>
    <x v="0"/>
    <s v="Kuching, Malaysia"/>
    <s v="LEE Chong Wei"/>
    <x v="48"/>
    <s v="LEE Chong Wei"/>
    <x v="1"/>
    <s v="21-16"/>
    <s v=""/>
    <s v=""/>
  </r>
  <r>
    <s v="LCW396"/>
    <d v="2017-04-06T00:00:00"/>
    <s v="Thursday"/>
    <s v="April"/>
    <x v="10"/>
    <x v="86"/>
    <x v="2"/>
    <x v="1"/>
    <s v="Kuching, Malaysia"/>
    <s v="LEE Chong Wei"/>
    <x v="42"/>
    <s v="LEE Chong Wei"/>
    <x v="1"/>
    <s v="21-8"/>
    <s v=""/>
    <s v=""/>
  </r>
  <r>
    <s v="LCW397"/>
    <d v="2017-04-07T00:00:00"/>
    <s v="Friday"/>
    <s v="April"/>
    <x v="10"/>
    <x v="86"/>
    <x v="2"/>
    <x v="4"/>
    <s v="Kuching, Malaysia"/>
    <s v="LEE Chong Wei"/>
    <x v="103"/>
    <s v="LEE Chong Wei"/>
    <x v="1"/>
    <s v="21-11"/>
    <s v=""/>
    <s v=""/>
  </r>
  <r>
    <s v="LCW398"/>
    <d v="2017-04-08T00:00:00"/>
    <s v="Saturday"/>
    <s v="April"/>
    <x v="10"/>
    <x v="86"/>
    <x v="2"/>
    <x v="2"/>
    <s v="Kuching, Malaysia"/>
    <s v="LEE Chong Wei"/>
    <x v="56"/>
    <s v="LEE Chong Wei"/>
    <x v="1"/>
    <s v="21-12"/>
    <s v=""/>
    <s v=""/>
  </r>
  <r>
    <s v="LCW399"/>
    <d v="2017-04-09T00:00:00"/>
    <s v="Sunday"/>
    <s v="April"/>
    <x v="10"/>
    <x v="86"/>
    <x v="2"/>
    <x v="3"/>
    <s v="Kuching, Malaysia"/>
    <s v="LEE Chong Wei"/>
    <x v="29"/>
    <s v="LIN Dan"/>
    <x v="0"/>
    <s v="19-21"/>
    <s v=""/>
    <s v=""/>
  </r>
  <r>
    <s v="LCW400"/>
    <d v="2017-06-14T00:00:00"/>
    <s v="Wednesday"/>
    <s v="June"/>
    <x v="10"/>
    <x v="87"/>
    <x v="2"/>
    <x v="0"/>
    <s v="Jakarta, Indonesia"/>
    <s v="LEE Chong Wei"/>
    <x v="62"/>
    <s v="LEE Chong Wei"/>
    <x v="1"/>
    <s v="13-21"/>
    <s v="21-10"/>
    <s v="21-18"/>
  </r>
  <r>
    <s v="LCW401"/>
    <d v="2017-06-15T00:00:00"/>
    <s v="Thursday"/>
    <s v="June"/>
    <x v="10"/>
    <x v="87"/>
    <x v="2"/>
    <x v="1"/>
    <s v="Jakarta, Indonesia"/>
    <s v="LEE Chong Wei"/>
    <x v="82"/>
    <s v="PRANNOY H. S."/>
    <x v="0"/>
    <s v="10-21"/>
    <s v=""/>
    <s v=""/>
  </r>
  <r>
    <s v="LCW402"/>
    <d v="2017-09-22T00:00:00"/>
    <s v="Friday"/>
    <s v="September"/>
    <x v="10"/>
    <x v="88"/>
    <x v="0"/>
    <x v="4"/>
    <s v="Tokyo, Japan"/>
    <s v="LEE Chong Wei"/>
    <x v="95"/>
    <s v="LEE Chong Wei"/>
    <x v="1"/>
    <s v="21-11"/>
    <s v="15-21"/>
    <s v="21-19"/>
  </r>
  <r>
    <s v="LCW403"/>
    <d v="2017-09-23T00:00:00"/>
    <s v="Saturday"/>
    <s v="September"/>
    <x v="10"/>
    <x v="88"/>
    <x v="0"/>
    <x v="2"/>
    <s v="Tokyo, Japan"/>
    <s v="LEE Chong Wei"/>
    <x v="101"/>
    <s v="LEE Chong Wei"/>
    <x v="1"/>
    <s v="21-19"/>
    <s v=""/>
    <s v=""/>
  </r>
  <r>
    <s v="LCW404"/>
    <d v="2017-10-18T00:00:00"/>
    <s v="Wednesday"/>
    <s v="October"/>
    <x v="10"/>
    <x v="89"/>
    <x v="2"/>
    <x v="0"/>
    <s v="Odense, Denmark"/>
    <s v="LEE Chong Wei"/>
    <x v="69"/>
    <s v="LEE Chong Wei"/>
    <x v="1"/>
    <s v="21-12"/>
    <s v=""/>
    <s v=""/>
  </r>
  <r>
    <s v="LCW405"/>
    <d v="2017-10-19T00:00:00"/>
    <s v="Thursday"/>
    <s v="October"/>
    <x v="10"/>
    <x v="89"/>
    <x v="2"/>
    <x v="1"/>
    <s v="Odense, Denmark"/>
    <s v="LEE Chong Wei"/>
    <x v="82"/>
    <s v="PRANNOY H. S."/>
    <x v="0"/>
    <s v="17-21"/>
    <s v="21-11"/>
    <s v="19-21"/>
  </r>
  <r>
    <s v="LCW406"/>
    <d v="2017-10-25T00:00:00"/>
    <s v="Wednesday"/>
    <s v="October"/>
    <x v="10"/>
    <x v="80"/>
    <x v="0"/>
    <x v="0"/>
    <s v="Paris, France"/>
    <s v="LEE Chong Wei"/>
    <x v="104"/>
    <s v="Kenta NISHIMOTO"/>
    <x v="0"/>
    <s v="14-21"/>
    <s v=""/>
    <s v=""/>
  </r>
  <r>
    <s v="LCW407"/>
    <d v="2017-11-15T00:00:00"/>
    <s v="Wednesday"/>
    <s v="November"/>
    <x v="10"/>
    <x v="90"/>
    <x v="2"/>
    <x v="0"/>
    <s v="Fuzhou, China"/>
    <s v="LEE Chong Wei"/>
    <x v="59"/>
    <s v="LEE Chong Wei"/>
    <x v="1"/>
    <s v="21-5"/>
    <s v=""/>
    <s v=""/>
  </r>
  <r>
    <s v="LCW408"/>
    <d v="2017-11-16T00:00:00"/>
    <s v="Thursday"/>
    <s v="November"/>
    <x v="10"/>
    <x v="90"/>
    <x v="2"/>
    <x v="1"/>
    <s v="Fuzhou, China"/>
    <s v="LEE Chong Wei"/>
    <x v="52"/>
    <s v="LEE Chong Wei"/>
    <x v="1"/>
    <s v="21-6"/>
    <s v=""/>
    <s v=""/>
  </r>
  <r>
    <s v="LCW409"/>
    <d v="2017-11-24T00:00:00"/>
    <s v="Friday"/>
    <s v="November"/>
    <x v="10"/>
    <x v="82"/>
    <x v="0"/>
    <x v="4"/>
    <s v="Kowloon, Hong Kong China"/>
    <s v="LEE Chong Wei"/>
    <x v="51"/>
    <s v="LEE Chong Wei"/>
    <x v="1"/>
    <s v="21-11"/>
    <s v=""/>
    <s v=""/>
  </r>
  <r>
    <s v="LCW410"/>
    <d v="2017-12-13T00:00:00"/>
    <s v="Wednesday"/>
    <s v="December"/>
    <x v="10"/>
    <x v="91"/>
    <x v="2"/>
    <x v="8"/>
    <s v="Dubai, United Arab Emirates"/>
    <s v="LEE Chong Wei"/>
    <x v="96"/>
    <s v="LEE Chong Wei"/>
    <x v="1"/>
    <s v="21-14"/>
    <s v=""/>
    <s v=""/>
  </r>
  <r>
    <s v="LCW411"/>
    <d v="2018-06-26T00:00:00"/>
    <s v="Tuesday"/>
    <s v="June"/>
    <x v="11"/>
    <x v="92"/>
    <x v="5"/>
    <x v="0"/>
    <s v="Bukit Jalil, Malaysia"/>
    <s v="LEE Chong Wei"/>
    <x v="81"/>
    <s v="LEE Chong Wei"/>
    <x v="1"/>
    <s v="21-13"/>
    <s v=""/>
    <s v=""/>
  </r>
  <r>
    <s v="LCW412"/>
    <d v="2018-06-28T00:00:00"/>
    <s v="Thursday"/>
    <s v="June"/>
    <x v="11"/>
    <x v="92"/>
    <x v="5"/>
    <x v="1"/>
    <s v="Bukit Jalil, Malaysia"/>
    <s v="LEE Chong Wei"/>
    <x v="12"/>
    <s v="LEE Chong Wei"/>
    <x v="1"/>
    <s v="21-7"/>
    <s v=""/>
    <s v=""/>
  </r>
  <r>
    <s v="LCW413"/>
    <d v="2018-06-30T00:00:00"/>
    <s v="Saturday"/>
    <s v="June"/>
    <x v="11"/>
    <x v="92"/>
    <x v="5"/>
    <x v="2"/>
    <s v="Bukit Jalil, Malaysia"/>
    <s v="LEE Chong Wei"/>
    <x v="62"/>
    <s v="LEE Chong Wei"/>
    <x v="1"/>
    <s v="21-18"/>
    <s v=""/>
    <s v=""/>
  </r>
  <r>
    <s v="LCW414"/>
    <d v="2018-07-01T00:00:00"/>
    <s v="Sunday"/>
    <s v="July"/>
    <x v="11"/>
    <x v="92"/>
    <x v="5"/>
    <x v="3"/>
    <s v="Bukit Jalil, Malaysia"/>
    <s v="LEE Chong Wei"/>
    <x v="86"/>
    <s v="LEE Chong Wei"/>
    <x v="1"/>
    <s v="21-17"/>
    <s v=""/>
    <s v=""/>
  </r>
  <r>
    <s v="LCW415"/>
    <d v="2018-07-06T00:00:00"/>
    <s v="Friday"/>
    <s v="July"/>
    <x v="11"/>
    <x v="93"/>
    <x v="6"/>
    <x v="4"/>
    <s v="Jakarta, Indonesia"/>
    <s v="LEE Chong Wei"/>
    <x v="105"/>
    <s v="LEE Chong Wei"/>
    <x v="1"/>
    <s v="21-13"/>
    <s v=""/>
    <s v="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D254487-86C7-42D4-A2E0-8FD5557B0E51}" name="PivotTable3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H1:K15" firstHeaderRow="1" firstDataRow="2" firstDataCol="1"/>
  <pivotFields count="16">
    <pivotField dataField="1" showAll="0"/>
    <pivotField numFmtId="14" showAll="0"/>
    <pivotField showAll="0"/>
    <pivotField showAll="0"/>
    <pivotField axis="axisRow" showAll="0">
      <items count="1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axis="axisCol" multipleItemSelectionAllowed="1" showAll="0">
      <items count="3">
        <item x="0"/>
        <item x="1"/>
        <item t="default"/>
      </items>
    </pivotField>
    <pivotField showAll="0"/>
    <pivotField showAll="0"/>
    <pivotField showAll="0"/>
  </pivotFields>
  <rowFields count="1">
    <field x="4"/>
  </rowFields>
  <rowItems count="1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 t="grand">
      <x/>
    </i>
  </rowItems>
  <colFields count="1">
    <field x="12"/>
  </colFields>
  <colItems count="3">
    <i>
      <x/>
    </i>
    <i>
      <x v="1"/>
    </i>
    <i t="grand">
      <x/>
    </i>
  </colItems>
  <dataFields count="1">
    <dataField name="Count of Match_Id" fld="0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764DD0A-425B-416A-8E43-4DB72399EFE7}" name="PivotTable2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D1:E29" firstHeaderRow="1" firstDataRow="1" firstDataCol="1"/>
  <pivotFields count="16">
    <pivotField dataField="1" showAll="0"/>
    <pivotField numFmtId="14" showAll="0"/>
    <pivotField showAll="0"/>
    <pivotField showAll="0"/>
    <pivotField showAll="0">
      <items count="1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showAll="0"/>
    <pivotField showAll="0"/>
    <pivotField showAll="0"/>
    <pivotField showAll="0"/>
    <pivotField showAll="0"/>
    <pivotField axis="axisRow" showAll="0" measureFilter="1" sortType="ascending">
      <items count="107">
        <item x="57"/>
        <item x="23"/>
        <item x="93"/>
        <item x="68"/>
        <item x="30"/>
        <item x="6"/>
        <item x="54"/>
        <item x="24"/>
        <item x="5"/>
        <item x="2"/>
        <item x="36"/>
        <item x="52"/>
        <item x="58"/>
        <item x="25"/>
        <item x="4"/>
        <item x="9"/>
        <item x="38"/>
        <item x="11"/>
        <item x="46"/>
        <item x="76"/>
        <item x="14"/>
        <item x="95"/>
        <item x="61"/>
        <item x="91"/>
        <item x="53"/>
        <item x="49"/>
        <item x="40"/>
        <item x="97"/>
        <item x="45"/>
        <item x="92"/>
        <item x="60"/>
        <item x="73"/>
        <item x="94"/>
        <item x="32"/>
        <item x="50"/>
        <item x="59"/>
        <item x="71"/>
        <item x="42"/>
        <item x="99"/>
        <item x="37"/>
        <item x="103"/>
        <item x="43"/>
        <item x="15"/>
        <item x="83"/>
        <item x="87"/>
        <item x="105"/>
        <item x="98"/>
        <item x="81"/>
        <item x="72"/>
        <item x="35"/>
        <item x="104"/>
        <item x="86"/>
        <item x="66"/>
        <item x="85"/>
        <item x="84"/>
        <item x="12"/>
        <item x="55"/>
        <item x="29"/>
        <item x="21"/>
        <item x="47"/>
        <item x="26"/>
        <item x="33"/>
        <item x="74"/>
        <item x="20"/>
        <item x="1"/>
        <item x="96"/>
        <item x="27"/>
        <item x="69"/>
        <item x="28"/>
        <item x="67"/>
        <item x="16"/>
        <item x="82"/>
        <item x="77"/>
        <item x="10"/>
        <item x="78"/>
        <item x="18"/>
        <item x="48"/>
        <item x="64"/>
        <item x="0"/>
        <item x="75"/>
        <item x="7"/>
        <item x="80"/>
        <item x="101"/>
        <item x="90"/>
        <item x="13"/>
        <item x="3"/>
        <item x="51"/>
        <item x="19"/>
        <item x="100"/>
        <item x="63"/>
        <item x="65"/>
        <item x="22"/>
        <item x="8"/>
        <item x="79"/>
        <item x="31"/>
        <item x="62"/>
        <item x="70"/>
        <item x="34"/>
        <item x="102"/>
        <item x="44"/>
        <item x="88"/>
        <item x="56"/>
        <item x="89"/>
        <item x="41"/>
        <item x="17"/>
        <item x="39"/>
        <item t="default"/>
      </items>
    </pivotField>
    <pivotField showAll="0"/>
    <pivotField axis="axisRow" multipleItemSelectionAllowed="1" showAll="0">
      <items count="3">
        <item x="0"/>
        <item x="1"/>
        <item t="default"/>
      </items>
    </pivotField>
    <pivotField showAll="0"/>
    <pivotField showAll="0"/>
    <pivotField showAll="0"/>
  </pivotFields>
  <rowFields count="2">
    <field x="10"/>
    <field x="12"/>
  </rowFields>
  <rowItems count="28">
    <i>
      <x v="10"/>
    </i>
    <i r="1">
      <x v="1"/>
    </i>
    <i>
      <x v="16"/>
    </i>
    <i r="1">
      <x/>
    </i>
    <i r="1">
      <x v="1"/>
    </i>
    <i>
      <x v="25"/>
    </i>
    <i r="1">
      <x/>
    </i>
    <i r="1">
      <x v="1"/>
    </i>
    <i>
      <x v="39"/>
    </i>
    <i r="1">
      <x/>
    </i>
    <i r="1">
      <x v="1"/>
    </i>
    <i>
      <x v="49"/>
    </i>
    <i r="1">
      <x/>
    </i>
    <i r="1">
      <x v="1"/>
    </i>
    <i>
      <x v="57"/>
    </i>
    <i r="1">
      <x/>
    </i>
    <i r="1">
      <x v="1"/>
    </i>
    <i>
      <x v="61"/>
    </i>
    <i r="1">
      <x v="1"/>
    </i>
    <i>
      <x v="70"/>
    </i>
    <i r="1">
      <x/>
    </i>
    <i r="1">
      <x v="1"/>
    </i>
    <i>
      <x v="92"/>
    </i>
    <i r="1">
      <x/>
    </i>
    <i r="1">
      <x v="1"/>
    </i>
    <i>
      <x v="99"/>
    </i>
    <i r="1">
      <x v="1"/>
    </i>
    <i t="grand">
      <x/>
    </i>
  </rowItems>
  <colItems count="1">
    <i/>
  </colItems>
  <dataFields count="1">
    <dataField name="Count of Match_Id" fld="0" subtotal="count" baseField="10" baseItem="0"/>
  </dataFields>
  <pivotTableStyleInfo name="PivotStyleLight16" showRowHeaders="1" showColHeaders="1" showRowStripes="0" showColStripes="0" showLastColumn="1"/>
  <filters count="1">
    <filter fld="10" type="count" evalOrder="-1" id="1" iMeasureFld="0">
      <autoFilter ref="A1">
        <filterColumn colId="0">
          <top10 val="10" filterVal="10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A1157E9-7273-4A3C-8DCA-FCB78272B7F4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16" firstHeaderRow="1" firstDataRow="1" firstDataCol="1" rowPageCount="1" colPageCount="1"/>
  <pivotFields count="16">
    <pivotField dataField="1" showAll="0"/>
    <pivotField numFmtId="14" showAll="0"/>
    <pivotField showAll="0"/>
    <pivotField showAll="0"/>
    <pivotField axis="axisRow" showAll="0">
      <items count="1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axis="axisPage" multipleItemSelectionAllowed="1" showAll="0">
      <items count="3">
        <item x="0"/>
        <item x="1"/>
        <item t="default"/>
      </items>
    </pivotField>
    <pivotField showAll="0"/>
    <pivotField showAll="0"/>
    <pivotField showAll="0"/>
  </pivotFields>
  <rowFields count="1">
    <field x="4"/>
  </rowFields>
  <rowItems count="1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 t="grand">
      <x/>
    </i>
  </rowItems>
  <colItems count="1">
    <i/>
  </colItems>
  <pageFields count="1">
    <pageField fld="12" hier="-1"/>
  </pageFields>
  <dataFields count="1">
    <dataField name="Count of Match_Id" fld="0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4B2ECD9-00BC-4472-A671-6066C558436B}" name="PivotTable5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N1:Q14" firstHeaderRow="1" firstDataRow="2" firstDataCol="1"/>
  <pivotFields count="16">
    <pivotField dataField="1" showAll="0"/>
    <pivotField numFmtId="14" showAll="0"/>
    <pivotField showAll="0"/>
    <pivotField showAll="0"/>
    <pivotField showAll="0">
      <items count="1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showAll="0"/>
    <pivotField showAll="0"/>
    <pivotField axis="axisRow" showAll="0" sortType="ascending">
      <items count="12">
        <item x="3"/>
        <item x="10"/>
        <item x="9"/>
        <item x="4"/>
        <item x="8"/>
        <item x="1"/>
        <item x="6"/>
        <item x="7"/>
        <item x="0"/>
        <item x="5"/>
        <item x="2"/>
        <item t="default"/>
      </items>
    </pivotField>
    <pivotField showAll="0"/>
    <pivotField showAll="0"/>
    <pivotField showAll="0"/>
    <pivotField showAll="0"/>
    <pivotField axis="axisCol" multipleItemSelectionAllowed="1" showAll="0">
      <items count="3">
        <item x="0"/>
        <item x="1"/>
        <item t="default"/>
      </items>
    </pivotField>
    <pivotField showAll="0"/>
    <pivotField showAll="0"/>
    <pivotField showAll="0"/>
  </pivotFields>
  <rowFields count="1">
    <field x="7"/>
  </rowFields>
  <rowItems count="12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 t="grand">
      <x/>
    </i>
  </rowItems>
  <colFields count="1">
    <field x="12"/>
  </colFields>
  <colItems count="3">
    <i>
      <x/>
    </i>
    <i>
      <x v="1"/>
    </i>
    <i t="grand">
      <x/>
    </i>
  </colItems>
  <dataFields count="1">
    <dataField name="Count of Match_Id" fld="0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C949F25-C190-4CA1-A5C2-A4D72E5D1CAE}" name="PivotTable4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H18:K27" firstHeaderRow="1" firstDataRow="2" firstDataCol="1"/>
  <pivotFields count="16">
    <pivotField dataField="1" showAll="0"/>
    <pivotField numFmtId="14" showAll="0"/>
    <pivotField showAll="0"/>
    <pivotField showAll="0"/>
    <pivotField showAll="0">
      <items count="1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showAll="0"/>
    <pivotField axis="axisRow" showAll="0">
      <items count="8">
        <item x="3"/>
        <item x="4"/>
        <item x="1"/>
        <item x="6"/>
        <item x="5"/>
        <item x="0"/>
        <item x="2"/>
        <item t="default"/>
      </items>
    </pivotField>
    <pivotField showAll="0"/>
    <pivotField showAll="0"/>
    <pivotField showAll="0"/>
    <pivotField showAll="0"/>
    <pivotField showAll="0"/>
    <pivotField axis="axisCol" multipleItemSelectionAllowed="1" showAll="0">
      <items count="3">
        <item x="0"/>
        <item x="1"/>
        <item t="default"/>
      </items>
    </pivotField>
    <pivotField showAll="0"/>
    <pivotField showAll="0"/>
    <pivotField showAll="0"/>
  </pivotFields>
  <rowFields count="1">
    <field x="6"/>
  </rowFields>
  <row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rowItems>
  <colFields count="1">
    <field x="12"/>
  </colFields>
  <colItems count="3">
    <i>
      <x/>
    </i>
    <i>
      <x v="1"/>
    </i>
    <i t="grand">
      <x/>
    </i>
  </colItems>
  <dataFields count="1">
    <dataField name="Count of Match_Id" fld="0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5" Type="http://schemas.openxmlformats.org/officeDocument/2006/relationships/pivotTable" Target="../pivotTables/pivotTable5.xml"/><Relationship Id="rId4" Type="http://schemas.openxmlformats.org/officeDocument/2006/relationships/pivotTable" Target="../pivotTables/pivot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83254B-DE41-4CCB-A28E-4A61E374AD01}">
  <dimension ref="A1:J416"/>
  <sheetViews>
    <sheetView workbookViewId="0">
      <selection activeCell="F10" sqref="A1:J416"/>
    </sheetView>
  </sheetViews>
  <sheetFormatPr defaultRowHeight="14.4" x14ac:dyDescent="0.3"/>
  <cols>
    <col min="1" max="1" width="10.5546875" bestFit="1" customWidth="1"/>
    <col min="2" max="2" width="8.6640625" bestFit="1" customWidth="1"/>
    <col min="3" max="3" width="57" bestFit="1" customWidth="1"/>
    <col min="4" max="4" width="30.6640625" bestFit="1" customWidth="1"/>
    <col min="5" max="5" width="10.6640625" bestFit="1" customWidth="1"/>
    <col min="6" max="6" width="25" bestFit="1" customWidth="1"/>
    <col min="7" max="7" width="13.21875" bestFit="1" customWidth="1"/>
    <col min="8" max="8" width="29.21875" bestFit="1" customWidth="1"/>
    <col min="9" max="9" width="7.33203125" bestFit="1" customWidth="1"/>
    <col min="10" max="10" width="16" bestFit="1" customWidth="1"/>
  </cols>
  <sheetData>
    <row r="1" spans="1:10" x14ac:dyDescent="0.3">
      <c r="A1" t="s">
        <v>567</v>
      </c>
      <c r="B1" t="s">
        <v>568</v>
      </c>
      <c r="C1" t="s">
        <v>569</v>
      </c>
      <c r="D1" t="s">
        <v>570</v>
      </c>
      <c r="E1" t="s">
        <v>571</v>
      </c>
      <c r="F1" t="s">
        <v>572</v>
      </c>
      <c r="G1" t="s">
        <v>573</v>
      </c>
      <c r="H1" t="s">
        <v>574</v>
      </c>
      <c r="I1" t="s">
        <v>575</v>
      </c>
      <c r="J1" t="s">
        <v>576</v>
      </c>
    </row>
    <row r="2" spans="1:10" x14ac:dyDescent="0.3">
      <c r="A2" s="1">
        <v>39155</v>
      </c>
      <c r="B2" t="s">
        <v>0</v>
      </c>
      <c r="C2" t="s">
        <v>76</v>
      </c>
      <c r="D2" t="s">
        <v>1</v>
      </c>
      <c r="E2" t="s">
        <v>17</v>
      </c>
      <c r="F2" t="s">
        <v>77</v>
      </c>
      <c r="G2" t="s">
        <v>38</v>
      </c>
      <c r="H2" t="s">
        <v>24</v>
      </c>
      <c r="I2">
        <v>2</v>
      </c>
      <c r="J2" t="s">
        <v>85</v>
      </c>
    </row>
    <row r="3" spans="1:10" x14ac:dyDescent="0.3">
      <c r="A3" s="1">
        <v>39204</v>
      </c>
      <c r="B3" t="s">
        <v>0</v>
      </c>
      <c r="C3" t="s">
        <v>91</v>
      </c>
      <c r="D3" t="s">
        <v>1</v>
      </c>
      <c r="E3" t="s">
        <v>17</v>
      </c>
      <c r="F3" t="s">
        <v>92</v>
      </c>
      <c r="G3" t="s">
        <v>38</v>
      </c>
      <c r="H3" t="s">
        <v>32</v>
      </c>
      <c r="I3">
        <v>2</v>
      </c>
      <c r="J3" t="s">
        <v>98</v>
      </c>
    </row>
    <row r="4" spans="1:10" x14ac:dyDescent="0.3">
      <c r="A4" s="1">
        <v>39211</v>
      </c>
      <c r="B4" t="s">
        <v>0</v>
      </c>
      <c r="C4" t="s">
        <v>106</v>
      </c>
      <c r="D4" t="s">
        <v>1</v>
      </c>
      <c r="E4" t="s">
        <v>17</v>
      </c>
      <c r="F4" t="s">
        <v>107</v>
      </c>
      <c r="G4" t="s">
        <v>38</v>
      </c>
      <c r="H4" t="s">
        <v>36</v>
      </c>
      <c r="I4">
        <v>1</v>
      </c>
      <c r="J4" t="s">
        <v>111</v>
      </c>
    </row>
    <row r="5" spans="1:10" x14ac:dyDescent="0.3">
      <c r="A5" s="1">
        <v>39212</v>
      </c>
      <c r="B5" t="s">
        <v>0</v>
      </c>
      <c r="C5" t="s">
        <v>106</v>
      </c>
      <c r="D5" t="s">
        <v>1</v>
      </c>
      <c r="E5" t="s">
        <v>40</v>
      </c>
      <c r="F5" t="s">
        <v>107</v>
      </c>
      <c r="G5" t="s">
        <v>38</v>
      </c>
      <c r="H5" t="s">
        <v>68</v>
      </c>
      <c r="I5">
        <v>1</v>
      </c>
      <c r="J5" t="s">
        <v>114</v>
      </c>
    </row>
    <row r="6" spans="1:10" x14ac:dyDescent="0.3">
      <c r="A6" s="1">
        <v>39214</v>
      </c>
      <c r="B6" t="s">
        <v>0</v>
      </c>
      <c r="C6" t="s">
        <v>106</v>
      </c>
      <c r="D6" t="s">
        <v>1</v>
      </c>
      <c r="E6" t="s">
        <v>46</v>
      </c>
      <c r="F6" t="s">
        <v>107</v>
      </c>
      <c r="G6" t="s">
        <v>38</v>
      </c>
      <c r="H6" t="s">
        <v>33</v>
      </c>
      <c r="I6">
        <v>1</v>
      </c>
      <c r="J6" t="s">
        <v>116</v>
      </c>
    </row>
    <row r="7" spans="1:10" x14ac:dyDescent="0.3">
      <c r="A7" s="1">
        <v>39215</v>
      </c>
      <c r="B7" t="s">
        <v>0</v>
      </c>
      <c r="C7" t="s">
        <v>106</v>
      </c>
      <c r="D7" t="s">
        <v>1</v>
      </c>
      <c r="E7" t="s">
        <v>47</v>
      </c>
      <c r="F7" t="s">
        <v>107</v>
      </c>
      <c r="G7" t="s">
        <v>38</v>
      </c>
      <c r="H7" t="s">
        <v>39</v>
      </c>
      <c r="I7">
        <v>1</v>
      </c>
      <c r="J7" t="s">
        <v>13</v>
      </c>
    </row>
    <row r="8" spans="1:10" x14ac:dyDescent="0.3">
      <c r="A8" s="1">
        <v>39274</v>
      </c>
      <c r="B8" t="s">
        <v>0</v>
      </c>
      <c r="C8" t="s">
        <v>117</v>
      </c>
      <c r="D8" t="s">
        <v>1</v>
      </c>
      <c r="E8" t="s">
        <v>17</v>
      </c>
      <c r="F8" t="s">
        <v>118</v>
      </c>
      <c r="G8" t="s">
        <v>38</v>
      </c>
      <c r="H8" t="s">
        <v>25</v>
      </c>
      <c r="I8">
        <v>1</v>
      </c>
      <c r="J8" t="s">
        <v>127</v>
      </c>
    </row>
    <row r="9" spans="1:10" x14ac:dyDescent="0.3">
      <c r="A9" s="1">
        <v>39275</v>
      </c>
      <c r="B9" t="s">
        <v>0</v>
      </c>
      <c r="C9" t="s">
        <v>117</v>
      </c>
      <c r="D9" t="s">
        <v>1</v>
      </c>
      <c r="E9" t="s">
        <v>40</v>
      </c>
      <c r="F9" t="s">
        <v>118</v>
      </c>
      <c r="G9" t="s">
        <v>38</v>
      </c>
      <c r="H9" t="s">
        <v>73</v>
      </c>
      <c r="I9">
        <v>1</v>
      </c>
      <c r="J9" t="s">
        <v>13</v>
      </c>
    </row>
    <row r="10" spans="1:10" x14ac:dyDescent="0.3">
      <c r="A10" s="1">
        <v>39276</v>
      </c>
      <c r="B10" t="s">
        <v>0</v>
      </c>
      <c r="C10" t="s">
        <v>117</v>
      </c>
      <c r="D10" t="s">
        <v>1</v>
      </c>
      <c r="E10" t="s">
        <v>42</v>
      </c>
      <c r="F10" t="s">
        <v>118</v>
      </c>
      <c r="G10" t="s">
        <v>38</v>
      </c>
      <c r="H10" t="s">
        <v>30</v>
      </c>
      <c r="I10">
        <v>1</v>
      </c>
      <c r="J10" t="s">
        <v>131</v>
      </c>
    </row>
    <row r="11" spans="1:10" x14ac:dyDescent="0.3">
      <c r="A11" s="1">
        <v>39337</v>
      </c>
      <c r="B11" t="s">
        <v>0</v>
      </c>
      <c r="C11" t="s">
        <v>133</v>
      </c>
      <c r="D11" t="s">
        <v>1</v>
      </c>
      <c r="E11" t="s">
        <v>17</v>
      </c>
      <c r="F11" t="s">
        <v>134</v>
      </c>
      <c r="G11" t="s">
        <v>38</v>
      </c>
      <c r="H11" t="s">
        <v>32</v>
      </c>
      <c r="I11">
        <v>1</v>
      </c>
      <c r="J11" t="s">
        <v>138</v>
      </c>
    </row>
    <row r="12" spans="1:10" x14ac:dyDescent="0.3">
      <c r="A12" s="1">
        <v>39338</v>
      </c>
      <c r="B12" t="s">
        <v>0</v>
      </c>
      <c r="C12" t="s">
        <v>133</v>
      </c>
      <c r="D12" t="s">
        <v>1</v>
      </c>
      <c r="E12" t="s">
        <v>40</v>
      </c>
      <c r="F12" t="s">
        <v>134</v>
      </c>
      <c r="G12" t="s">
        <v>38</v>
      </c>
      <c r="H12" t="s">
        <v>24</v>
      </c>
      <c r="I12">
        <v>1</v>
      </c>
      <c r="J12" t="s">
        <v>141</v>
      </c>
    </row>
    <row r="13" spans="1:10" x14ac:dyDescent="0.3">
      <c r="A13" s="1">
        <v>39339</v>
      </c>
      <c r="B13" t="s">
        <v>0</v>
      </c>
      <c r="C13" t="s">
        <v>133</v>
      </c>
      <c r="D13" t="s">
        <v>1</v>
      </c>
      <c r="E13" t="s">
        <v>42</v>
      </c>
      <c r="F13" t="s">
        <v>134</v>
      </c>
      <c r="G13" t="s">
        <v>38</v>
      </c>
      <c r="H13" t="s">
        <v>28</v>
      </c>
      <c r="I13">
        <v>1</v>
      </c>
      <c r="J13" t="s">
        <v>144</v>
      </c>
    </row>
    <row r="14" spans="1:10" x14ac:dyDescent="0.3">
      <c r="A14" s="1">
        <v>39341</v>
      </c>
      <c r="B14" t="s">
        <v>0</v>
      </c>
      <c r="C14" t="s">
        <v>133</v>
      </c>
      <c r="D14" t="s">
        <v>1</v>
      </c>
      <c r="E14" t="s">
        <v>47</v>
      </c>
      <c r="F14" t="s">
        <v>134</v>
      </c>
      <c r="G14" t="s">
        <v>38</v>
      </c>
      <c r="H14" t="s">
        <v>30</v>
      </c>
      <c r="I14">
        <v>1</v>
      </c>
      <c r="J14" t="s">
        <v>145</v>
      </c>
    </row>
    <row r="15" spans="1:10" x14ac:dyDescent="0.3">
      <c r="A15" s="1">
        <v>39463</v>
      </c>
      <c r="B15" t="s">
        <v>0</v>
      </c>
      <c r="C15" t="s">
        <v>184</v>
      </c>
      <c r="D15" t="s">
        <v>1</v>
      </c>
      <c r="E15" t="s">
        <v>17</v>
      </c>
      <c r="F15" t="s">
        <v>2</v>
      </c>
      <c r="G15" t="s">
        <v>38</v>
      </c>
      <c r="H15" t="s">
        <v>32</v>
      </c>
      <c r="I15">
        <v>1</v>
      </c>
      <c r="J15" t="s">
        <v>10</v>
      </c>
    </row>
    <row r="16" spans="1:10" x14ac:dyDescent="0.3">
      <c r="A16" s="1">
        <v>39464</v>
      </c>
      <c r="B16" t="s">
        <v>0</v>
      </c>
      <c r="C16" t="s">
        <v>184</v>
      </c>
      <c r="D16" t="s">
        <v>1</v>
      </c>
      <c r="E16" t="s">
        <v>40</v>
      </c>
      <c r="F16" t="s">
        <v>2</v>
      </c>
      <c r="G16" t="s">
        <v>38</v>
      </c>
      <c r="H16" t="s">
        <v>34</v>
      </c>
      <c r="I16">
        <v>1</v>
      </c>
      <c r="J16" t="s">
        <v>189</v>
      </c>
    </row>
    <row r="17" spans="1:10" x14ac:dyDescent="0.3">
      <c r="A17" s="1">
        <v>39465</v>
      </c>
      <c r="B17" t="s">
        <v>0</v>
      </c>
      <c r="C17" t="s">
        <v>184</v>
      </c>
      <c r="D17" t="s">
        <v>1</v>
      </c>
      <c r="E17" t="s">
        <v>42</v>
      </c>
      <c r="F17" t="s">
        <v>2</v>
      </c>
      <c r="G17" t="s">
        <v>38</v>
      </c>
      <c r="H17" t="s">
        <v>68</v>
      </c>
      <c r="I17">
        <v>1</v>
      </c>
      <c r="J17" t="s">
        <v>161</v>
      </c>
    </row>
    <row r="18" spans="1:10" x14ac:dyDescent="0.3">
      <c r="A18" s="1">
        <v>39466</v>
      </c>
      <c r="B18" t="s">
        <v>0</v>
      </c>
      <c r="C18" t="s">
        <v>184</v>
      </c>
      <c r="D18" t="s">
        <v>1</v>
      </c>
      <c r="E18" t="s">
        <v>46</v>
      </c>
      <c r="F18" t="s">
        <v>2</v>
      </c>
      <c r="G18" t="s">
        <v>38</v>
      </c>
      <c r="H18" t="s">
        <v>26</v>
      </c>
      <c r="I18">
        <v>1</v>
      </c>
      <c r="J18" t="s">
        <v>191</v>
      </c>
    </row>
    <row r="19" spans="1:10" x14ac:dyDescent="0.3">
      <c r="A19" s="1">
        <v>39467</v>
      </c>
      <c r="B19" t="s">
        <v>0</v>
      </c>
      <c r="C19" t="s">
        <v>184</v>
      </c>
      <c r="D19" t="s">
        <v>1</v>
      </c>
      <c r="E19" t="s">
        <v>47</v>
      </c>
      <c r="F19" t="s">
        <v>2</v>
      </c>
      <c r="G19" t="s">
        <v>38</v>
      </c>
      <c r="H19" t="s">
        <v>54</v>
      </c>
      <c r="I19">
        <v>1</v>
      </c>
      <c r="J19" t="s">
        <v>192</v>
      </c>
    </row>
    <row r="20" spans="1:10" x14ac:dyDescent="0.3">
      <c r="A20" s="1">
        <v>39610</v>
      </c>
      <c r="B20" t="s">
        <v>0</v>
      </c>
      <c r="C20" t="s">
        <v>207</v>
      </c>
      <c r="D20" t="s">
        <v>1</v>
      </c>
      <c r="E20" t="s">
        <v>17</v>
      </c>
      <c r="F20" t="s">
        <v>92</v>
      </c>
      <c r="G20" t="s">
        <v>38</v>
      </c>
      <c r="H20" t="s">
        <v>137</v>
      </c>
      <c r="I20">
        <v>1</v>
      </c>
      <c r="J20" t="s">
        <v>214</v>
      </c>
    </row>
    <row r="21" spans="1:10" x14ac:dyDescent="0.3">
      <c r="A21" s="1">
        <v>39611</v>
      </c>
      <c r="B21" t="s">
        <v>0</v>
      </c>
      <c r="C21" t="s">
        <v>207</v>
      </c>
      <c r="D21" t="s">
        <v>1</v>
      </c>
      <c r="E21" t="s">
        <v>40</v>
      </c>
      <c r="F21" t="s">
        <v>92</v>
      </c>
      <c r="G21" t="s">
        <v>38</v>
      </c>
      <c r="H21" t="s">
        <v>7</v>
      </c>
      <c r="I21">
        <v>1</v>
      </c>
      <c r="J21" t="s">
        <v>215</v>
      </c>
    </row>
    <row r="22" spans="1:10" x14ac:dyDescent="0.3">
      <c r="A22" s="1">
        <v>39612</v>
      </c>
      <c r="B22" t="s">
        <v>0</v>
      </c>
      <c r="C22" t="s">
        <v>207</v>
      </c>
      <c r="D22" t="s">
        <v>1</v>
      </c>
      <c r="E22" t="s">
        <v>42</v>
      </c>
      <c r="F22" t="s">
        <v>92</v>
      </c>
      <c r="G22" t="s">
        <v>38</v>
      </c>
      <c r="H22" t="s">
        <v>72</v>
      </c>
      <c r="I22">
        <v>1</v>
      </c>
      <c r="J22" t="s">
        <v>175</v>
      </c>
    </row>
    <row r="23" spans="1:10" x14ac:dyDescent="0.3">
      <c r="A23" s="1">
        <v>39613</v>
      </c>
      <c r="B23" t="s">
        <v>0</v>
      </c>
      <c r="C23" t="s">
        <v>207</v>
      </c>
      <c r="D23" t="s">
        <v>1</v>
      </c>
      <c r="E23" t="s">
        <v>46</v>
      </c>
      <c r="F23" t="s">
        <v>92</v>
      </c>
      <c r="G23" t="s">
        <v>38</v>
      </c>
      <c r="H23" t="s">
        <v>21</v>
      </c>
      <c r="I23">
        <v>1</v>
      </c>
      <c r="J23" t="s">
        <v>151</v>
      </c>
    </row>
    <row r="24" spans="1:10" x14ac:dyDescent="0.3">
      <c r="A24" s="1">
        <v>39614</v>
      </c>
      <c r="B24" t="s">
        <v>0</v>
      </c>
      <c r="C24" t="s">
        <v>207</v>
      </c>
      <c r="D24" t="s">
        <v>1</v>
      </c>
      <c r="E24" t="s">
        <v>47</v>
      </c>
      <c r="F24" t="s">
        <v>92</v>
      </c>
      <c r="G24" t="s">
        <v>38</v>
      </c>
      <c r="H24" t="s">
        <v>68</v>
      </c>
      <c r="I24">
        <v>1</v>
      </c>
      <c r="J24" t="s">
        <v>173</v>
      </c>
    </row>
    <row r="25" spans="1:10" x14ac:dyDescent="0.3">
      <c r="A25" s="1">
        <v>39708</v>
      </c>
      <c r="B25" t="s">
        <v>0</v>
      </c>
      <c r="C25" t="s">
        <v>241</v>
      </c>
      <c r="D25" t="s">
        <v>1</v>
      </c>
      <c r="E25" t="s">
        <v>17</v>
      </c>
      <c r="F25" t="s">
        <v>134</v>
      </c>
      <c r="G25" t="s">
        <v>38</v>
      </c>
      <c r="H25" t="s">
        <v>165</v>
      </c>
      <c r="I25">
        <v>1</v>
      </c>
      <c r="J25" t="s">
        <v>245</v>
      </c>
    </row>
    <row r="26" spans="1:10" x14ac:dyDescent="0.3">
      <c r="A26" s="1">
        <v>39709</v>
      </c>
      <c r="B26" t="s">
        <v>0</v>
      </c>
      <c r="C26" t="s">
        <v>241</v>
      </c>
      <c r="D26" t="s">
        <v>1</v>
      </c>
      <c r="E26" t="s">
        <v>40</v>
      </c>
      <c r="F26" t="s">
        <v>134</v>
      </c>
      <c r="G26" t="s">
        <v>38</v>
      </c>
      <c r="H26" t="s">
        <v>137</v>
      </c>
      <c r="I26">
        <v>1</v>
      </c>
      <c r="J26" t="s">
        <v>248</v>
      </c>
    </row>
    <row r="27" spans="1:10" x14ac:dyDescent="0.3">
      <c r="A27" s="1">
        <v>39710</v>
      </c>
      <c r="B27" t="s">
        <v>0</v>
      </c>
      <c r="C27" t="s">
        <v>241</v>
      </c>
      <c r="D27" t="s">
        <v>1</v>
      </c>
      <c r="E27" t="s">
        <v>42</v>
      </c>
      <c r="F27" t="s">
        <v>134</v>
      </c>
      <c r="G27" t="s">
        <v>38</v>
      </c>
      <c r="H27" t="s">
        <v>121</v>
      </c>
      <c r="I27">
        <v>1</v>
      </c>
      <c r="J27" t="s">
        <v>249</v>
      </c>
    </row>
    <row r="28" spans="1:10" x14ac:dyDescent="0.3">
      <c r="A28" s="1">
        <v>39711</v>
      </c>
      <c r="B28" t="s">
        <v>0</v>
      </c>
      <c r="C28" t="s">
        <v>241</v>
      </c>
      <c r="D28" t="s">
        <v>1</v>
      </c>
      <c r="E28" t="s">
        <v>46</v>
      </c>
      <c r="F28" t="s">
        <v>134</v>
      </c>
      <c r="G28" t="s">
        <v>38</v>
      </c>
      <c r="H28" t="s">
        <v>72</v>
      </c>
      <c r="I28">
        <v>1</v>
      </c>
      <c r="J28" t="s">
        <v>250</v>
      </c>
    </row>
    <row r="29" spans="1:10" x14ac:dyDescent="0.3">
      <c r="A29" s="1">
        <v>39712</v>
      </c>
      <c r="B29" t="s">
        <v>0</v>
      </c>
      <c r="C29" t="s">
        <v>241</v>
      </c>
      <c r="D29" t="s">
        <v>1</v>
      </c>
      <c r="E29" t="s">
        <v>47</v>
      </c>
      <c r="F29" t="s">
        <v>134</v>
      </c>
      <c r="G29" t="s">
        <v>38</v>
      </c>
      <c r="H29" t="s">
        <v>3</v>
      </c>
      <c r="I29">
        <v>2</v>
      </c>
      <c r="J29" t="s">
        <v>251</v>
      </c>
    </row>
    <row r="30" spans="1:10" x14ac:dyDescent="0.3">
      <c r="A30" s="1">
        <v>39721</v>
      </c>
      <c r="B30" t="s">
        <v>0</v>
      </c>
      <c r="C30" t="s">
        <v>257</v>
      </c>
      <c r="D30" t="s">
        <v>219</v>
      </c>
      <c r="E30" t="s">
        <v>222</v>
      </c>
      <c r="G30" t="s">
        <v>38</v>
      </c>
      <c r="H30" t="s">
        <v>166</v>
      </c>
      <c r="I30">
        <v>1</v>
      </c>
      <c r="J30" t="s">
        <v>258</v>
      </c>
    </row>
    <row r="31" spans="1:10" x14ac:dyDescent="0.3">
      <c r="A31" s="1">
        <v>39722</v>
      </c>
      <c r="B31" t="s">
        <v>0</v>
      </c>
      <c r="C31" t="s">
        <v>257</v>
      </c>
      <c r="D31" t="s">
        <v>219</v>
      </c>
      <c r="E31" t="s">
        <v>17</v>
      </c>
      <c r="G31" t="s">
        <v>38</v>
      </c>
      <c r="H31" t="s">
        <v>259</v>
      </c>
      <c r="I31">
        <v>1</v>
      </c>
      <c r="J31" t="s">
        <v>183</v>
      </c>
    </row>
    <row r="32" spans="1:10" x14ac:dyDescent="0.3">
      <c r="A32" s="1">
        <v>39723</v>
      </c>
      <c r="B32" t="s">
        <v>0</v>
      </c>
      <c r="C32" t="s">
        <v>257</v>
      </c>
      <c r="D32" t="s">
        <v>219</v>
      </c>
      <c r="E32" t="s">
        <v>40</v>
      </c>
      <c r="G32" t="s">
        <v>38</v>
      </c>
      <c r="H32" t="s">
        <v>227</v>
      </c>
      <c r="I32">
        <v>1</v>
      </c>
      <c r="J32" t="s">
        <v>88</v>
      </c>
    </row>
    <row r="33" spans="1:10" x14ac:dyDescent="0.3">
      <c r="A33" s="1">
        <v>39725</v>
      </c>
      <c r="B33" t="s">
        <v>0</v>
      </c>
      <c r="C33" t="s">
        <v>257</v>
      </c>
      <c r="D33" t="s">
        <v>219</v>
      </c>
      <c r="E33" t="s">
        <v>46</v>
      </c>
      <c r="G33" t="s">
        <v>38</v>
      </c>
      <c r="H33" t="s">
        <v>94</v>
      </c>
      <c r="I33">
        <v>1</v>
      </c>
      <c r="J33" t="s">
        <v>82</v>
      </c>
    </row>
    <row r="34" spans="1:10" x14ac:dyDescent="0.3">
      <c r="A34" s="1">
        <v>39726</v>
      </c>
      <c r="B34" t="s">
        <v>0</v>
      </c>
      <c r="C34" t="s">
        <v>257</v>
      </c>
      <c r="D34" t="s">
        <v>219</v>
      </c>
      <c r="E34" t="s">
        <v>47</v>
      </c>
      <c r="G34" t="s">
        <v>38</v>
      </c>
      <c r="H34" t="s">
        <v>30</v>
      </c>
      <c r="I34">
        <v>2</v>
      </c>
      <c r="J34" t="s">
        <v>45</v>
      </c>
    </row>
    <row r="35" spans="1:10" x14ac:dyDescent="0.3">
      <c r="A35" s="1">
        <v>39750</v>
      </c>
      <c r="B35" t="s">
        <v>0</v>
      </c>
      <c r="C35" t="s">
        <v>271</v>
      </c>
      <c r="D35" t="s">
        <v>1</v>
      </c>
      <c r="E35" t="s">
        <v>17</v>
      </c>
      <c r="F35" t="s">
        <v>154</v>
      </c>
      <c r="G35" t="s">
        <v>38</v>
      </c>
      <c r="H35" t="s">
        <v>185</v>
      </c>
      <c r="I35">
        <v>1</v>
      </c>
      <c r="J35" t="s">
        <v>272</v>
      </c>
    </row>
    <row r="36" spans="1:10" x14ac:dyDescent="0.3">
      <c r="A36" s="1">
        <v>39751</v>
      </c>
      <c r="B36" t="s">
        <v>0</v>
      </c>
      <c r="C36" t="s">
        <v>271</v>
      </c>
      <c r="D36" t="s">
        <v>1</v>
      </c>
      <c r="E36" t="s">
        <v>40</v>
      </c>
      <c r="F36" t="s">
        <v>154</v>
      </c>
      <c r="G36" t="s">
        <v>38</v>
      </c>
      <c r="H36" t="s">
        <v>27</v>
      </c>
      <c r="I36">
        <v>1</v>
      </c>
      <c r="J36" t="s">
        <v>56</v>
      </c>
    </row>
    <row r="37" spans="1:10" x14ac:dyDescent="0.3">
      <c r="A37" s="1">
        <v>39752</v>
      </c>
      <c r="B37" t="s">
        <v>0</v>
      </c>
      <c r="C37" t="s">
        <v>271</v>
      </c>
      <c r="D37" t="s">
        <v>1</v>
      </c>
      <c r="E37" t="s">
        <v>42</v>
      </c>
      <c r="F37" t="s">
        <v>154</v>
      </c>
      <c r="G37" t="s">
        <v>38</v>
      </c>
      <c r="H37" t="s">
        <v>124</v>
      </c>
      <c r="I37">
        <v>1</v>
      </c>
      <c r="J37" t="s">
        <v>12</v>
      </c>
    </row>
    <row r="38" spans="1:10" x14ac:dyDescent="0.3">
      <c r="A38" s="1">
        <v>39753</v>
      </c>
      <c r="B38" t="s">
        <v>0</v>
      </c>
      <c r="C38" t="s">
        <v>271</v>
      </c>
      <c r="D38" t="s">
        <v>1</v>
      </c>
      <c r="E38" t="s">
        <v>46</v>
      </c>
      <c r="F38" t="s">
        <v>154</v>
      </c>
      <c r="G38" t="s">
        <v>38</v>
      </c>
      <c r="H38" t="s">
        <v>30</v>
      </c>
      <c r="I38">
        <v>2</v>
      </c>
      <c r="J38" t="s">
        <v>274</v>
      </c>
    </row>
    <row r="39" spans="1:10" x14ac:dyDescent="0.3">
      <c r="A39" s="1">
        <v>39771</v>
      </c>
      <c r="B39" t="s">
        <v>0</v>
      </c>
      <c r="C39" t="s">
        <v>279</v>
      </c>
      <c r="D39" t="s">
        <v>1</v>
      </c>
      <c r="E39" t="s">
        <v>17</v>
      </c>
      <c r="F39" t="s">
        <v>118</v>
      </c>
      <c r="G39" t="s">
        <v>38</v>
      </c>
      <c r="H39" t="s">
        <v>121</v>
      </c>
      <c r="I39">
        <v>1</v>
      </c>
      <c r="J39" t="s">
        <v>280</v>
      </c>
    </row>
    <row r="40" spans="1:10" x14ac:dyDescent="0.3">
      <c r="A40" s="1">
        <v>39772</v>
      </c>
      <c r="B40" t="s">
        <v>0</v>
      </c>
      <c r="C40" t="s">
        <v>279</v>
      </c>
      <c r="D40" t="s">
        <v>1</v>
      </c>
      <c r="E40" t="s">
        <v>40</v>
      </c>
      <c r="F40" t="s">
        <v>118</v>
      </c>
      <c r="G40" t="s">
        <v>38</v>
      </c>
      <c r="H40" t="s">
        <v>35</v>
      </c>
      <c r="I40">
        <v>1</v>
      </c>
      <c r="J40" t="s">
        <v>82</v>
      </c>
    </row>
    <row r="41" spans="1:10" x14ac:dyDescent="0.3">
      <c r="A41" s="1">
        <v>39773</v>
      </c>
      <c r="B41" t="s">
        <v>0</v>
      </c>
      <c r="C41" t="s">
        <v>279</v>
      </c>
      <c r="D41" t="s">
        <v>1</v>
      </c>
      <c r="E41" t="s">
        <v>42</v>
      </c>
      <c r="F41" t="s">
        <v>118</v>
      </c>
      <c r="G41" t="s">
        <v>38</v>
      </c>
      <c r="H41" t="s">
        <v>7</v>
      </c>
      <c r="I41">
        <v>1</v>
      </c>
      <c r="J41" t="s">
        <v>281</v>
      </c>
    </row>
    <row r="42" spans="1:10" x14ac:dyDescent="0.3">
      <c r="A42" s="1">
        <v>39774</v>
      </c>
      <c r="B42" t="s">
        <v>0</v>
      </c>
      <c r="C42" t="s">
        <v>279</v>
      </c>
      <c r="D42" t="s">
        <v>1</v>
      </c>
      <c r="E42" t="s">
        <v>46</v>
      </c>
      <c r="F42" t="s">
        <v>118</v>
      </c>
      <c r="G42" t="s">
        <v>38</v>
      </c>
      <c r="H42" t="s">
        <v>20</v>
      </c>
      <c r="I42">
        <v>1</v>
      </c>
      <c r="J42" t="s">
        <v>282</v>
      </c>
    </row>
    <row r="43" spans="1:10" x14ac:dyDescent="0.3">
      <c r="A43" s="1">
        <v>39775</v>
      </c>
      <c r="B43" t="s">
        <v>0</v>
      </c>
      <c r="C43" t="s">
        <v>279</v>
      </c>
      <c r="D43" t="s">
        <v>1</v>
      </c>
      <c r="E43" t="s">
        <v>47</v>
      </c>
      <c r="F43" t="s">
        <v>118</v>
      </c>
      <c r="G43" t="s">
        <v>38</v>
      </c>
      <c r="H43" t="s">
        <v>29</v>
      </c>
      <c r="I43">
        <v>2</v>
      </c>
      <c r="J43" t="s">
        <v>176</v>
      </c>
    </row>
    <row r="44" spans="1:10" x14ac:dyDescent="0.3">
      <c r="A44" s="1">
        <v>39800</v>
      </c>
      <c r="B44" t="s">
        <v>0</v>
      </c>
      <c r="C44" t="s">
        <v>285</v>
      </c>
      <c r="D44" t="s">
        <v>286</v>
      </c>
      <c r="E44" t="s">
        <v>288</v>
      </c>
      <c r="G44" t="s">
        <v>38</v>
      </c>
      <c r="H44" t="s">
        <v>21</v>
      </c>
      <c r="I44">
        <v>1</v>
      </c>
      <c r="J44" t="s">
        <v>97</v>
      </c>
    </row>
    <row r="45" spans="1:10" x14ac:dyDescent="0.3">
      <c r="A45" s="1">
        <v>39800</v>
      </c>
      <c r="B45" t="s">
        <v>0</v>
      </c>
      <c r="C45" t="s">
        <v>285</v>
      </c>
      <c r="D45" t="s">
        <v>286</v>
      </c>
      <c r="E45" t="s">
        <v>289</v>
      </c>
      <c r="G45" t="s">
        <v>38</v>
      </c>
      <c r="H45" t="s">
        <v>7</v>
      </c>
      <c r="I45">
        <v>1</v>
      </c>
      <c r="J45" t="s">
        <v>44</v>
      </c>
    </row>
    <row r="46" spans="1:10" x14ac:dyDescent="0.3">
      <c r="A46" s="1">
        <v>39801</v>
      </c>
      <c r="B46" t="s">
        <v>0</v>
      </c>
      <c r="C46" t="s">
        <v>285</v>
      </c>
      <c r="D46" t="s">
        <v>286</v>
      </c>
      <c r="E46" t="s">
        <v>287</v>
      </c>
      <c r="G46" t="s">
        <v>38</v>
      </c>
      <c r="H46" t="s">
        <v>27</v>
      </c>
      <c r="I46">
        <v>1</v>
      </c>
      <c r="J46" t="s">
        <v>290</v>
      </c>
    </row>
    <row r="47" spans="1:10" x14ac:dyDescent="0.3">
      <c r="A47" s="1">
        <v>39802</v>
      </c>
      <c r="B47" t="s">
        <v>0</v>
      </c>
      <c r="C47" t="s">
        <v>285</v>
      </c>
      <c r="D47" t="s">
        <v>286</v>
      </c>
      <c r="E47" t="s">
        <v>46</v>
      </c>
      <c r="G47" t="s">
        <v>38</v>
      </c>
      <c r="H47" t="s">
        <v>30</v>
      </c>
      <c r="I47">
        <v>1</v>
      </c>
      <c r="J47" t="s">
        <v>291</v>
      </c>
    </row>
    <row r="48" spans="1:10" x14ac:dyDescent="0.3">
      <c r="A48" s="1">
        <v>39803</v>
      </c>
      <c r="B48" t="s">
        <v>0</v>
      </c>
      <c r="C48" t="s">
        <v>285</v>
      </c>
      <c r="D48" t="s">
        <v>286</v>
      </c>
      <c r="E48" t="s">
        <v>47</v>
      </c>
      <c r="G48" t="s">
        <v>38</v>
      </c>
      <c r="H48" t="s">
        <v>21</v>
      </c>
      <c r="I48">
        <v>1</v>
      </c>
      <c r="J48" t="s">
        <v>268</v>
      </c>
    </row>
    <row r="49" spans="1:10" x14ac:dyDescent="0.3">
      <c r="A49" s="1">
        <v>39820</v>
      </c>
      <c r="B49" t="s">
        <v>0</v>
      </c>
      <c r="C49" t="s">
        <v>292</v>
      </c>
      <c r="D49" t="s">
        <v>1</v>
      </c>
      <c r="E49" t="s">
        <v>17</v>
      </c>
      <c r="F49" t="s">
        <v>2</v>
      </c>
      <c r="G49" t="s">
        <v>38</v>
      </c>
      <c r="H49" t="s">
        <v>108</v>
      </c>
      <c r="I49">
        <v>1</v>
      </c>
      <c r="J49" t="s">
        <v>119</v>
      </c>
    </row>
    <row r="50" spans="1:10" x14ac:dyDescent="0.3">
      <c r="A50" s="1">
        <v>39821</v>
      </c>
      <c r="B50" t="s">
        <v>0</v>
      </c>
      <c r="C50" t="s">
        <v>292</v>
      </c>
      <c r="D50" t="s">
        <v>1</v>
      </c>
      <c r="E50" t="s">
        <v>40</v>
      </c>
      <c r="F50" t="s">
        <v>2</v>
      </c>
      <c r="G50" t="s">
        <v>38</v>
      </c>
      <c r="H50" t="s">
        <v>9</v>
      </c>
      <c r="I50">
        <v>1</v>
      </c>
      <c r="J50" t="s">
        <v>293</v>
      </c>
    </row>
    <row r="51" spans="1:10" x14ac:dyDescent="0.3">
      <c r="A51" s="1">
        <v>39822</v>
      </c>
      <c r="B51" t="s">
        <v>0</v>
      </c>
      <c r="C51" t="s">
        <v>292</v>
      </c>
      <c r="D51" t="s">
        <v>1</v>
      </c>
      <c r="E51" t="s">
        <v>42</v>
      </c>
      <c r="F51" t="s">
        <v>2</v>
      </c>
      <c r="G51" t="s">
        <v>38</v>
      </c>
      <c r="H51" t="s">
        <v>68</v>
      </c>
      <c r="I51">
        <v>1</v>
      </c>
      <c r="J51" t="s">
        <v>295</v>
      </c>
    </row>
    <row r="52" spans="1:10" x14ac:dyDescent="0.3">
      <c r="A52" s="1">
        <v>39823</v>
      </c>
      <c r="B52" t="s">
        <v>0</v>
      </c>
      <c r="C52" t="s">
        <v>292</v>
      </c>
      <c r="D52" t="s">
        <v>1</v>
      </c>
      <c r="E52" t="s">
        <v>46</v>
      </c>
      <c r="F52" t="s">
        <v>2</v>
      </c>
      <c r="G52" t="s">
        <v>38</v>
      </c>
      <c r="H52" t="s">
        <v>21</v>
      </c>
      <c r="I52">
        <v>1</v>
      </c>
      <c r="J52" t="s">
        <v>296</v>
      </c>
    </row>
    <row r="53" spans="1:10" x14ac:dyDescent="0.3">
      <c r="A53" s="1">
        <v>39824</v>
      </c>
      <c r="B53" t="s">
        <v>0</v>
      </c>
      <c r="C53" t="s">
        <v>292</v>
      </c>
      <c r="D53" t="s">
        <v>1</v>
      </c>
      <c r="E53" t="s">
        <v>47</v>
      </c>
      <c r="F53" t="s">
        <v>2</v>
      </c>
      <c r="G53" t="s">
        <v>38</v>
      </c>
      <c r="H53" t="s">
        <v>20</v>
      </c>
      <c r="I53">
        <v>1</v>
      </c>
      <c r="J53" t="s">
        <v>44</v>
      </c>
    </row>
    <row r="54" spans="1:10" x14ac:dyDescent="0.3">
      <c r="A54" s="1">
        <v>39827</v>
      </c>
      <c r="B54" t="s">
        <v>0</v>
      </c>
      <c r="C54" t="s">
        <v>297</v>
      </c>
      <c r="D54" t="s">
        <v>1</v>
      </c>
      <c r="E54" t="s">
        <v>17</v>
      </c>
      <c r="F54" t="s">
        <v>48</v>
      </c>
      <c r="G54" t="s">
        <v>38</v>
      </c>
      <c r="H54" t="s">
        <v>49</v>
      </c>
      <c r="I54">
        <v>1</v>
      </c>
      <c r="J54" t="s">
        <v>299</v>
      </c>
    </row>
    <row r="55" spans="1:10" x14ac:dyDescent="0.3">
      <c r="A55" s="1">
        <v>39828</v>
      </c>
      <c r="B55" t="s">
        <v>0</v>
      </c>
      <c r="C55" t="s">
        <v>297</v>
      </c>
      <c r="D55" t="s">
        <v>1</v>
      </c>
      <c r="E55" t="s">
        <v>40</v>
      </c>
      <c r="F55" t="s">
        <v>48</v>
      </c>
      <c r="G55" t="s">
        <v>38</v>
      </c>
      <c r="H55" t="s">
        <v>227</v>
      </c>
      <c r="I55">
        <v>1</v>
      </c>
      <c r="J55" t="s">
        <v>159</v>
      </c>
    </row>
    <row r="56" spans="1:10" x14ac:dyDescent="0.3">
      <c r="A56" s="1">
        <v>39829</v>
      </c>
      <c r="B56" t="s">
        <v>0</v>
      </c>
      <c r="C56" t="s">
        <v>297</v>
      </c>
      <c r="D56" t="s">
        <v>1</v>
      </c>
      <c r="E56" t="s">
        <v>42</v>
      </c>
      <c r="F56" t="s">
        <v>48</v>
      </c>
      <c r="G56" t="s">
        <v>38</v>
      </c>
      <c r="H56" t="s">
        <v>20</v>
      </c>
      <c r="I56">
        <v>1</v>
      </c>
      <c r="J56" t="s">
        <v>300</v>
      </c>
    </row>
    <row r="57" spans="1:10" x14ac:dyDescent="0.3">
      <c r="A57" s="1">
        <v>39830</v>
      </c>
      <c r="B57" t="s">
        <v>0</v>
      </c>
      <c r="C57" t="s">
        <v>297</v>
      </c>
      <c r="D57" t="s">
        <v>1</v>
      </c>
      <c r="E57" t="s">
        <v>46</v>
      </c>
      <c r="F57" t="s">
        <v>48</v>
      </c>
      <c r="G57" t="s">
        <v>38</v>
      </c>
      <c r="H57" t="s">
        <v>34</v>
      </c>
      <c r="I57">
        <v>1</v>
      </c>
      <c r="J57" t="s">
        <v>164</v>
      </c>
    </row>
    <row r="58" spans="1:10" x14ac:dyDescent="0.3">
      <c r="A58" s="1">
        <v>39831</v>
      </c>
      <c r="B58" t="s">
        <v>0</v>
      </c>
      <c r="C58" t="s">
        <v>297</v>
      </c>
      <c r="D58" t="s">
        <v>1</v>
      </c>
      <c r="E58" t="s">
        <v>47</v>
      </c>
      <c r="F58" t="s">
        <v>48</v>
      </c>
      <c r="G58" t="s">
        <v>38</v>
      </c>
      <c r="H58" t="s">
        <v>21</v>
      </c>
      <c r="I58">
        <v>2</v>
      </c>
      <c r="J58" t="s">
        <v>301</v>
      </c>
    </row>
    <row r="59" spans="1:10" x14ac:dyDescent="0.3">
      <c r="A59" s="1">
        <v>39876</v>
      </c>
      <c r="B59" t="s">
        <v>0</v>
      </c>
      <c r="C59" t="s">
        <v>304</v>
      </c>
      <c r="D59" t="s">
        <v>1</v>
      </c>
      <c r="E59" t="s">
        <v>17</v>
      </c>
      <c r="F59" t="s">
        <v>60</v>
      </c>
      <c r="G59" t="s">
        <v>38</v>
      </c>
      <c r="H59" t="s">
        <v>124</v>
      </c>
      <c r="I59">
        <v>1</v>
      </c>
      <c r="J59" t="s">
        <v>67</v>
      </c>
    </row>
    <row r="60" spans="1:10" x14ac:dyDescent="0.3">
      <c r="A60" s="1">
        <v>39877</v>
      </c>
      <c r="B60" t="s">
        <v>0</v>
      </c>
      <c r="C60" t="s">
        <v>304</v>
      </c>
      <c r="D60" t="s">
        <v>1</v>
      </c>
      <c r="E60" t="s">
        <v>40</v>
      </c>
      <c r="F60" t="s">
        <v>60</v>
      </c>
      <c r="G60" t="s">
        <v>38</v>
      </c>
      <c r="H60" t="s">
        <v>158</v>
      </c>
      <c r="I60">
        <v>1</v>
      </c>
      <c r="J60" t="s">
        <v>52</v>
      </c>
    </row>
    <row r="61" spans="1:10" x14ac:dyDescent="0.3">
      <c r="A61" s="1">
        <v>39878</v>
      </c>
      <c r="B61" t="s">
        <v>0</v>
      </c>
      <c r="C61" t="s">
        <v>304</v>
      </c>
      <c r="D61" t="s">
        <v>1</v>
      </c>
      <c r="E61" t="s">
        <v>42</v>
      </c>
      <c r="F61" t="s">
        <v>60</v>
      </c>
      <c r="G61" t="s">
        <v>38</v>
      </c>
      <c r="H61" t="s">
        <v>66</v>
      </c>
      <c r="I61">
        <v>1</v>
      </c>
      <c r="J61" t="s">
        <v>212</v>
      </c>
    </row>
    <row r="62" spans="1:10" x14ac:dyDescent="0.3">
      <c r="A62" s="1">
        <v>39879</v>
      </c>
      <c r="B62" t="s">
        <v>0</v>
      </c>
      <c r="C62" t="s">
        <v>304</v>
      </c>
      <c r="D62" t="s">
        <v>1</v>
      </c>
      <c r="E62" t="s">
        <v>46</v>
      </c>
      <c r="F62" t="s">
        <v>60</v>
      </c>
      <c r="G62" t="s">
        <v>38</v>
      </c>
      <c r="H62" t="s">
        <v>30</v>
      </c>
      <c r="I62">
        <v>1</v>
      </c>
      <c r="J62" t="s">
        <v>233</v>
      </c>
    </row>
    <row r="63" spans="1:10" x14ac:dyDescent="0.3">
      <c r="A63" s="1">
        <v>39880</v>
      </c>
      <c r="B63" t="s">
        <v>0</v>
      </c>
      <c r="C63" t="s">
        <v>304</v>
      </c>
      <c r="D63" t="s">
        <v>1</v>
      </c>
      <c r="E63" t="s">
        <v>47</v>
      </c>
      <c r="F63" t="s">
        <v>60</v>
      </c>
      <c r="G63" t="s">
        <v>38</v>
      </c>
      <c r="H63" t="s">
        <v>29</v>
      </c>
      <c r="I63">
        <v>2</v>
      </c>
      <c r="J63" t="s">
        <v>157</v>
      </c>
    </row>
    <row r="64" spans="1:10" x14ac:dyDescent="0.3">
      <c r="A64" s="1">
        <v>39883</v>
      </c>
      <c r="B64" t="s">
        <v>0</v>
      </c>
      <c r="C64" t="s">
        <v>306</v>
      </c>
      <c r="D64" t="s">
        <v>1</v>
      </c>
      <c r="E64" t="s">
        <v>17</v>
      </c>
      <c r="F64" t="s">
        <v>77</v>
      </c>
      <c r="G64" t="s">
        <v>38</v>
      </c>
      <c r="H64" t="s">
        <v>135</v>
      </c>
      <c r="I64">
        <v>1</v>
      </c>
      <c r="J64" t="s">
        <v>240</v>
      </c>
    </row>
    <row r="65" spans="1:10" x14ac:dyDescent="0.3">
      <c r="A65" s="1">
        <v>39884</v>
      </c>
      <c r="B65" t="s">
        <v>0</v>
      </c>
      <c r="C65" t="s">
        <v>306</v>
      </c>
      <c r="D65" t="s">
        <v>1</v>
      </c>
      <c r="E65" t="s">
        <v>40</v>
      </c>
      <c r="F65" t="s">
        <v>77</v>
      </c>
      <c r="G65" t="s">
        <v>38</v>
      </c>
      <c r="H65" t="s">
        <v>23</v>
      </c>
      <c r="I65">
        <v>1</v>
      </c>
      <c r="J65" t="s">
        <v>307</v>
      </c>
    </row>
    <row r="66" spans="1:10" x14ac:dyDescent="0.3">
      <c r="A66" s="1">
        <v>39885</v>
      </c>
      <c r="B66" t="s">
        <v>0</v>
      </c>
      <c r="C66" t="s">
        <v>306</v>
      </c>
      <c r="D66" t="s">
        <v>1</v>
      </c>
      <c r="E66" t="s">
        <v>42</v>
      </c>
      <c r="F66" t="s">
        <v>77</v>
      </c>
      <c r="G66" t="s">
        <v>38</v>
      </c>
      <c r="H66" t="s">
        <v>30</v>
      </c>
      <c r="I66">
        <v>1</v>
      </c>
      <c r="J66" t="s">
        <v>308</v>
      </c>
    </row>
    <row r="67" spans="1:10" x14ac:dyDescent="0.3">
      <c r="A67" s="1">
        <v>39886</v>
      </c>
      <c r="B67" t="s">
        <v>0</v>
      </c>
      <c r="C67" t="s">
        <v>306</v>
      </c>
      <c r="D67" t="s">
        <v>1</v>
      </c>
      <c r="E67" t="s">
        <v>46</v>
      </c>
      <c r="F67" t="s">
        <v>77</v>
      </c>
      <c r="G67" t="s">
        <v>38</v>
      </c>
      <c r="H67" t="s">
        <v>149</v>
      </c>
      <c r="I67">
        <v>1</v>
      </c>
      <c r="J67" t="s">
        <v>309</v>
      </c>
    </row>
    <row r="68" spans="1:10" x14ac:dyDescent="0.3">
      <c r="A68" s="1">
        <v>39887</v>
      </c>
      <c r="B68" t="s">
        <v>0</v>
      </c>
      <c r="C68" t="s">
        <v>306</v>
      </c>
      <c r="D68" t="s">
        <v>1</v>
      </c>
      <c r="E68" t="s">
        <v>47</v>
      </c>
      <c r="F68" t="s">
        <v>77</v>
      </c>
      <c r="G68" t="s">
        <v>38</v>
      </c>
      <c r="H68" t="s">
        <v>29</v>
      </c>
      <c r="I68">
        <v>1</v>
      </c>
      <c r="J68" t="s">
        <v>269</v>
      </c>
    </row>
    <row r="69" spans="1:10" x14ac:dyDescent="0.3">
      <c r="A69" s="1">
        <v>39897</v>
      </c>
      <c r="B69" t="s">
        <v>0</v>
      </c>
      <c r="C69" t="s">
        <v>310</v>
      </c>
      <c r="D69" t="s">
        <v>219</v>
      </c>
      <c r="E69" t="s">
        <v>222</v>
      </c>
      <c r="F69" t="s">
        <v>311</v>
      </c>
      <c r="G69" t="s">
        <v>38</v>
      </c>
      <c r="H69" t="s">
        <v>253</v>
      </c>
      <c r="I69">
        <v>2</v>
      </c>
      <c r="J69" t="s">
        <v>312</v>
      </c>
    </row>
    <row r="70" spans="1:10" x14ac:dyDescent="0.3">
      <c r="A70" s="1">
        <v>39974</v>
      </c>
      <c r="B70" t="s">
        <v>0</v>
      </c>
      <c r="C70" t="s">
        <v>318</v>
      </c>
      <c r="D70" t="s">
        <v>1</v>
      </c>
      <c r="E70" t="s">
        <v>17</v>
      </c>
      <c r="F70" t="s">
        <v>319</v>
      </c>
      <c r="G70" t="s">
        <v>38</v>
      </c>
      <c r="H70" t="s">
        <v>25</v>
      </c>
      <c r="I70">
        <v>1</v>
      </c>
      <c r="J70" t="s">
        <v>266</v>
      </c>
    </row>
    <row r="71" spans="1:10" x14ac:dyDescent="0.3">
      <c r="A71" s="1">
        <v>39975</v>
      </c>
      <c r="B71" t="s">
        <v>0</v>
      </c>
      <c r="C71" t="s">
        <v>318</v>
      </c>
      <c r="D71" t="s">
        <v>1</v>
      </c>
      <c r="E71" t="s">
        <v>40</v>
      </c>
      <c r="F71" t="s">
        <v>319</v>
      </c>
      <c r="G71" t="s">
        <v>38</v>
      </c>
      <c r="H71" t="s">
        <v>9</v>
      </c>
      <c r="I71">
        <v>2</v>
      </c>
      <c r="J71" t="s">
        <v>320</v>
      </c>
    </row>
    <row r="72" spans="1:10" x14ac:dyDescent="0.3">
      <c r="A72" s="1">
        <v>39981</v>
      </c>
      <c r="B72" t="s">
        <v>0</v>
      </c>
      <c r="C72" t="s">
        <v>321</v>
      </c>
      <c r="D72" t="s">
        <v>1</v>
      </c>
      <c r="E72" t="s">
        <v>17</v>
      </c>
      <c r="F72" t="s">
        <v>322</v>
      </c>
      <c r="G72" t="s">
        <v>38</v>
      </c>
      <c r="H72" t="s">
        <v>158</v>
      </c>
      <c r="I72">
        <v>1</v>
      </c>
      <c r="J72" t="s">
        <v>181</v>
      </c>
    </row>
    <row r="73" spans="1:10" x14ac:dyDescent="0.3">
      <c r="A73" s="1">
        <v>39982</v>
      </c>
      <c r="B73" t="s">
        <v>0</v>
      </c>
      <c r="C73" t="s">
        <v>321</v>
      </c>
      <c r="D73" t="s">
        <v>1</v>
      </c>
      <c r="E73" t="s">
        <v>40</v>
      </c>
      <c r="F73" t="s">
        <v>322</v>
      </c>
      <c r="G73" t="s">
        <v>38</v>
      </c>
      <c r="H73" t="s">
        <v>32</v>
      </c>
      <c r="I73">
        <v>1</v>
      </c>
      <c r="J73" t="s">
        <v>325</v>
      </c>
    </row>
    <row r="74" spans="1:10" x14ac:dyDescent="0.3">
      <c r="A74" s="1">
        <v>39983</v>
      </c>
      <c r="B74" t="s">
        <v>0</v>
      </c>
      <c r="C74" t="s">
        <v>321</v>
      </c>
      <c r="D74" t="s">
        <v>1</v>
      </c>
      <c r="E74" t="s">
        <v>42</v>
      </c>
      <c r="F74" t="s">
        <v>322</v>
      </c>
      <c r="G74" t="s">
        <v>38</v>
      </c>
      <c r="H74" t="s">
        <v>20</v>
      </c>
      <c r="I74">
        <v>1</v>
      </c>
      <c r="J74" t="s">
        <v>171</v>
      </c>
    </row>
    <row r="75" spans="1:10" x14ac:dyDescent="0.3">
      <c r="A75" s="1">
        <v>39984</v>
      </c>
      <c r="B75" t="s">
        <v>0</v>
      </c>
      <c r="C75" t="s">
        <v>321</v>
      </c>
      <c r="D75" t="s">
        <v>1</v>
      </c>
      <c r="E75" t="s">
        <v>46</v>
      </c>
      <c r="F75" t="s">
        <v>322</v>
      </c>
      <c r="G75" t="s">
        <v>38</v>
      </c>
      <c r="H75" t="s">
        <v>28</v>
      </c>
      <c r="I75">
        <v>1</v>
      </c>
      <c r="J75" t="s">
        <v>218</v>
      </c>
    </row>
    <row r="76" spans="1:10" x14ac:dyDescent="0.3">
      <c r="A76" s="1">
        <v>39985</v>
      </c>
      <c r="B76" t="s">
        <v>0</v>
      </c>
      <c r="C76" t="s">
        <v>321</v>
      </c>
      <c r="D76" t="s">
        <v>1</v>
      </c>
      <c r="E76" t="s">
        <v>47</v>
      </c>
      <c r="F76" t="s">
        <v>322</v>
      </c>
      <c r="G76" t="s">
        <v>38</v>
      </c>
      <c r="H76" t="s">
        <v>30</v>
      </c>
      <c r="I76">
        <v>1</v>
      </c>
      <c r="J76" t="s">
        <v>53</v>
      </c>
    </row>
    <row r="77" spans="1:10" x14ac:dyDescent="0.3">
      <c r="A77" s="1">
        <v>39988</v>
      </c>
      <c r="B77" t="s">
        <v>0</v>
      </c>
      <c r="C77" t="s">
        <v>326</v>
      </c>
      <c r="D77" t="s">
        <v>219</v>
      </c>
      <c r="E77" t="s">
        <v>222</v>
      </c>
      <c r="F77" t="s">
        <v>327</v>
      </c>
      <c r="G77" t="s">
        <v>38</v>
      </c>
      <c r="H77" t="s">
        <v>210</v>
      </c>
      <c r="I77">
        <v>1</v>
      </c>
      <c r="J77" t="s">
        <v>314</v>
      </c>
    </row>
    <row r="78" spans="1:10" x14ac:dyDescent="0.3">
      <c r="A78" s="1">
        <v>39988</v>
      </c>
      <c r="B78" t="s">
        <v>0</v>
      </c>
      <c r="C78" t="s">
        <v>326</v>
      </c>
      <c r="D78" t="s">
        <v>219</v>
      </c>
      <c r="E78" t="s">
        <v>17</v>
      </c>
      <c r="F78" t="s">
        <v>327</v>
      </c>
      <c r="G78" t="s">
        <v>38</v>
      </c>
      <c r="H78" t="s">
        <v>330</v>
      </c>
      <c r="I78">
        <v>1</v>
      </c>
      <c r="J78" t="s">
        <v>53</v>
      </c>
    </row>
    <row r="79" spans="1:10" x14ac:dyDescent="0.3">
      <c r="A79" s="1">
        <v>39989</v>
      </c>
      <c r="B79" t="s">
        <v>0</v>
      </c>
      <c r="C79" t="s">
        <v>326</v>
      </c>
      <c r="D79" t="s">
        <v>219</v>
      </c>
      <c r="E79" t="s">
        <v>40</v>
      </c>
      <c r="F79" t="s">
        <v>327</v>
      </c>
      <c r="G79" t="s">
        <v>38</v>
      </c>
      <c r="H79" t="s">
        <v>168</v>
      </c>
      <c r="I79">
        <v>1</v>
      </c>
      <c r="J79" t="s">
        <v>331</v>
      </c>
    </row>
    <row r="80" spans="1:10" x14ac:dyDescent="0.3">
      <c r="A80" s="1">
        <v>39990</v>
      </c>
      <c r="B80" t="s">
        <v>0</v>
      </c>
      <c r="C80" t="s">
        <v>326</v>
      </c>
      <c r="D80" t="s">
        <v>219</v>
      </c>
      <c r="E80" t="s">
        <v>42</v>
      </c>
      <c r="F80" t="s">
        <v>327</v>
      </c>
      <c r="G80" t="s">
        <v>38</v>
      </c>
      <c r="H80" t="s">
        <v>135</v>
      </c>
      <c r="I80">
        <v>1</v>
      </c>
      <c r="J80" t="s">
        <v>115</v>
      </c>
    </row>
    <row r="81" spans="1:10" x14ac:dyDescent="0.3">
      <c r="A81" s="1">
        <v>39991</v>
      </c>
      <c r="B81" t="s">
        <v>0</v>
      </c>
      <c r="C81" t="s">
        <v>326</v>
      </c>
      <c r="D81" t="s">
        <v>219</v>
      </c>
      <c r="E81" t="s">
        <v>46</v>
      </c>
      <c r="F81" t="s">
        <v>327</v>
      </c>
      <c r="G81" t="s">
        <v>38</v>
      </c>
      <c r="H81" t="s">
        <v>220</v>
      </c>
      <c r="I81">
        <v>1</v>
      </c>
      <c r="J81" t="s">
        <v>252</v>
      </c>
    </row>
    <row r="82" spans="1:10" x14ac:dyDescent="0.3">
      <c r="A82" s="1">
        <v>39992</v>
      </c>
      <c r="B82" t="s">
        <v>0</v>
      </c>
      <c r="C82" t="s">
        <v>326</v>
      </c>
      <c r="D82" t="s">
        <v>219</v>
      </c>
      <c r="E82" t="s">
        <v>47</v>
      </c>
      <c r="F82" t="s">
        <v>327</v>
      </c>
      <c r="G82" t="s">
        <v>38</v>
      </c>
      <c r="H82" t="s">
        <v>253</v>
      </c>
      <c r="I82">
        <v>1</v>
      </c>
      <c r="J82" t="s">
        <v>228</v>
      </c>
    </row>
    <row r="83" spans="1:10" x14ac:dyDescent="0.3">
      <c r="A83" s="1">
        <v>40043</v>
      </c>
      <c r="B83" t="s">
        <v>0</v>
      </c>
      <c r="C83" t="s">
        <v>336</v>
      </c>
      <c r="D83" t="s">
        <v>219</v>
      </c>
      <c r="E83" t="s">
        <v>222</v>
      </c>
      <c r="F83" t="s">
        <v>337</v>
      </c>
      <c r="G83" t="s">
        <v>38</v>
      </c>
      <c r="H83" t="s">
        <v>329</v>
      </c>
      <c r="I83">
        <v>1</v>
      </c>
      <c r="J83" t="s">
        <v>238</v>
      </c>
    </row>
    <row r="84" spans="1:10" x14ac:dyDescent="0.3">
      <c r="A84" s="1">
        <v>40044</v>
      </c>
      <c r="B84" t="s">
        <v>0</v>
      </c>
      <c r="C84" t="s">
        <v>336</v>
      </c>
      <c r="D84" t="s">
        <v>219</v>
      </c>
      <c r="E84" t="s">
        <v>17</v>
      </c>
      <c r="F84" t="s">
        <v>337</v>
      </c>
      <c r="G84" t="s">
        <v>38</v>
      </c>
      <c r="H84" t="s">
        <v>338</v>
      </c>
      <c r="I84">
        <v>1</v>
      </c>
      <c r="J84" t="s">
        <v>256</v>
      </c>
    </row>
    <row r="85" spans="1:10" x14ac:dyDescent="0.3">
      <c r="A85" s="1">
        <v>40045</v>
      </c>
      <c r="B85" t="s">
        <v>0</v>
      </c>
      <c r="C85" t="s">
        <v>336</v>
      </c>
      <c r="D85" t="s">
        <v>219</v>
      </c>
      <c r="E85" t="s">
        <v>40</v>
      </c>
      <c r="F85" t="s">
        <v>337</v>
      </c>
      <c r="G85" t="s">
        <v>38</v>
      </c>
      <c r="H85" t="s">
        <v>328</v>
      </c>
      <c r="I85">
        <v>1</v>
      </c>
      <c r="J85" t="s">
        <v>175</v>
      </c>
    </row>
    <row r="86" spans="1:10" x14ac:dyDescent="0.3">
      <c r="A86" s="1">
        <v>40046</v>
      </c>
      <c r="B86" t="s">
        <v>0</v>
      </c>
      <c r="C86" t="s">
        <v>336</v>
      </c>
      <c r="D86" t="s">
        <v>219</v>
      </c>
      <c r="E86" t="s">
        <v>42</v>
      </c>
      <c r="F86" t="s">
        <v>337</v>
      </c>
      <c r="G86" t="s">
        <v>38</v>
      </c>
      <c r="H86" t="s">
        <v>19</v>
      </c>
      <c r="I86">
        <v>1</v>
      </c>
      <c r="J86" t="s">
        <v>130</v>
      </c>
    </row>
    <row r="87" spans="1:10" x14ac:dyDescent="0.3">
      <c r="A87" s="1">
        <v>40047</v>
      </c>
      <c r="B87" t="s">
        <v>0</v>
      </c>
      <c r="C87" t="s">
        <v>336</v>
      </c>
      <c r="D87" t="s">
        <v>219</v>
      </c>
      <c r="E87" t="s">
        <v>46</v>
      </c>
      <c r="F87" t="s">
        <v>337</v>
      </c>
      <c r="G87" t="s">
        <v>38</v>
      </c>
      <c r="H87" t="s">
        <v>30</v>
      </c>
      <c r="I87">
        <v>1</v>
      </c>
      <c r="J87" t="s">
        <v>340</v>
      </c>
    </row>
    <row r="88" spans="1:10" x14ac:dyDescent="0.3">
      <c r="A88" s="1">
        <v>40048</v>
      </c>
      <c r="B88" t="s">
        <v>0</v>
      </c>
      <c r="C88" t="s">
        <v>336</v>
      </c>
      <c r="D88" t="s">
        <v>219</v>
      </c>
      <c r="E88" t="s">
        <v>47</v>
      </c>
      <c r="F88" t="s">
        <v>337</v>
      </c>
      <c r="G88" t="s">
        <v>38</v>
      </c>
      <c r="H88" t="s">
        <v>7</v>
      </c>
      <c r="I88">
        <v>1</v>
      </c>
      <c r="J88" t="s">
        <v>284</v>
      </c>
    </row>
    <row r="89" spans="1:10" x14ac:dyDescent="0.3">
      <c r="A89" s="1">
        <v>40072</v>
      </c>
      <c r="B89" t="s">
        <v>0</v>
      </c>
      <c r="C89" t="s">
        <v>341</v>
      </c>
      <c r="D89" t="s">
        <v>1</v>
      </c>
      <c r="E89" t="s">
        <v>17</v>
      </c>
      <c r="F89" t="s">
        <v>342</v>
      </c>
      <c r="G89" t="s">
        <v>38</v>
      </c>
      <c r="H89" t="s">
        <v>122</v>
      </c>
      <c r="I89">
        <v>1</v>
      </c>
      <c r="J89" t="s">
        <v>268</v>
      </c>
    </row>
    <row r="90" spans="1:10" x14ac:dyDescent="0.3">
      <c r="A90" s="1">
        <v>40073</v>
      </c>
      <c r="B90" t="s">
        <v>0</v>
      </c>
      <c r="C90" t="s">
        <v>341</v>
      </c>
      <c r="D90" t="s">
        <v>1</v>
      </c>
      <c r="E90" t="s">
        <v>40</v>
      </c>
      <c r="F90" t="s">
        <v>342</v>
      </c>
      <c r="G90" t="s">
        <v>38</v>
      </c>
      <c r="H90" t="s">
        <v>62</v>
      </c>
      <c r="I90">
        <v>1</v>
      </c>
      <c r="J90" t="s">
        <v>302</v>
      </c>
    </row>
    <row r="91" spans="1:10" x14ac:dyDescent="0.3">
      <c r="A91" s="1">
        <v>40074</v>
      </c>
      <c r="B91" t="s">
        <v>0</v>
      </c>
      <c r="C91" t="s">
        <v>341</v>
      </c>
      <c r="D91" t="s">
        <v>1</v>
      </c>
      <c r="E91" t="s">
        <v>42</v>
      </c>
      <c r="F91" t="s">
        <v>342</v>
      </c>
      <c r="G91" t="s">
        <v>38</v>
      </c>
      <c r="H91" t="s">
        <v>120</v>
      </c>
      <c r="I91">
        <v>1</v>
      </c>
      <c r="J91" t="s">
        <v>95</v>
      </c>
    </row>
    <row r="92" spans="1:10" x14ac:dyDescent="0.3">
      <c r="A92" s="1">
        <v>40075</v>
      </c>
      <c r="B92" t="s">
        <v>0</v>
      </c>
      <c r="C92" t="s">
        <v>341</v>
      </c>
      <c r="D92" t="s">
        <v>1</v>
      </c>
      <c r="E92" t="s">
        <v>46</v>
      </c>
      <c r="F92" t="s">
        <v>342</v>
      </c>
      <c r="G92" t="s">
        <v>38</v>
      </c>
      <c r="H92" t="s">
        <v>29</v>
      </c>
      <c r="I92">
        <v>2</v>
      </c>
      <c r="J92" t="s">
        <v>346</v>
      </c>
    </row>
    <row r="93" spans="1:10" x14ac:dyDescent="0.3">
      <c r="A93" s="1">
        <v>40079</v>
      </c>
      <c r="B93" t="s">
        <v>0</v>
      </c>
      <c r="C93" t="s">
        <v>347</v>
      </c>
      <c r="D93" t="s">
        <v>1</v>
      </c>
      <c r="E93" t="s">
        <v>17</v>
      </c>
      <c r="F93" t="s">
        <v>348</v>
      </c>
      <c r="G93" t="s">
        <v>38</v>
      </c>
      <c r="H93" t="s">
        <v>23</v>
      </c>
      <c r="I93">
        <v>1</v>
      </c>
      <c r="J93" t="s">
        <v>115</v>
      </c>
    </row>
    <row r="94" spans="1:10" x14ac:dyDescent="0.3">
      <c r="A94" s="1">
        <v>40080</v>
      </c>
      <c r="B94" t="s">
        <v>0</v>
      </c>
      <c r="C94" t="s">
        <v>347</v>
      </c>
      <c r="D94" t="s">
        <v>1</v>
      </c>
      <c r="E94" t="s">
        <v>40</v>
      </c>
      <c r="F94" t="s">
        <v>348</v>
      </c>
      <c r="G94" t="s">
        <v>38</v>
      </c>
      <c r="H94" t="s">
        <v>68</v>
      </c>
      <c r="I94">
        <v>2</v>
      </c>
      <c r="J94" t="s">
        <v>350</v>
      </c>
    </row>
    <row r="95" spans="1:10" x14ac:dyDescent="0.3">
      <c r="A95" s="1">
        <v>40128</v>
      </c>
      <c r="B95" t="s">
        <v>0</v>
      </c>
      <c r="C95" t="s">
        <v>355</v>
      </c>
      <c r="D95" t="s">
        <v>1</v>
      </c>
      <c r="E95" t="s">
        <v>17</v>
      </c>
      <c r="F95" t="s">
        <v>356</v>
      </c>
      <c r="G95" t="s">
        <v>38</v>
      </c>
      <c r="H95" t="s">
        <v>35</v>
      </c>
      <c r="I95">
        <v>1</v>
      </c>
      <c r="J95" t="s">
        <v>198</v>
      </c>
    </row>
    <row r="96" spans="1:10" x14ac:dyDescent="0.3">
      <c r="A96" s="1">
        <v>40129</v>
      </c>
      <c r="B96" t="s">
        <v>0</v>
      </c>
      <c r="C96" t="s">
        <v>355</v>
      </c>
      <c r="D96" t="s">
        <v>1</v>
      </c>
      <c r="E96" t="s">
        <v>40</v>
      </c>
      <c r="F96" t="s">
        <v>356</v>
      </c>
      <c r="G96" t="s">
        <v>38</v>
      </c>
      <c r="H96" t="s">
        <v>120</v>
      </c>
      <c r="I96">
        <v>1</v>
      </c>
      <c r="J96" t="s">
        <v>102</v>
      </c>
    </row>
    <row r="97" spans="1:10" x14ac:dyDescent="0.3">
      <c r="A97" s="1">
        <v>40130</v>
      </c>
      <c r="B97" t="s">
        <v>0</v>
      </c>
      <c r="C97" t="s">
        <v>355</v>
      </c>
      <c r="D97" t="s">
        <v>1</v>
      </c>
      <c r="E97" t="s">
        <v>42</v>
      </c>
      <c r="F97" t="s">
        <v>356</v>
      </c>
      <c r="G97" t="s">
        <v>38</v>
      </c>
      <c r="H97" t="s">
        <v>32</v>
      </c>
      <c r="I97">
        <v>1</v>
      </c>
      <c r="J97" t="s">
        <v>357</v>
      </c>
    </row>
    <row r="98" spans="1:10" x14ac:dyDescent="0.3">
      <c r="A98" s="1">
        <v>40131</v>
      </c>
      <c r="B98" t="s">
        <v>0</v>
      </c>
      <c r="C98" t="s">
        <v>355</v>
      </c>
      <c r="D98" t="s">
        <v>1</v>
      </c>
      <c r="E98" t="s">
        <v>46</v>
      </c>
      <c r="F98" t="s">
        <v>356</v>
      </c>
      <c r="G98" t="s">
        <v>38</v>
      </c>
      <c r="H98" t="s">
        <v>39</v>
      </c>
      <c r="I98">
        <v>1</v>
      </c>
      <c r="J98" t="s">
        <v>164</v>
      </c>
    </row>
    <row r="99" spans="1:10" x14ac:dyDescent="0.3">
      <c r="A99" s="1">
        <v>40132</v>
      </c>
      <c r="B99" t="s">
        <v>0</v>
      </c>
      <c r="C99" t="s">
        <v>355</v>
      </c>
      <c r="D99" t="s">
        <v>1</v>
      </c>
      <c r="E99" t="s">
        <v>47</v>
      </c>
      <c r="F99" t="s">
        <v>356</v>
      </c>
      <c r="G99" t="s">
        <v>38</v>
      </c>
      <c r="H99" t="s">
        <v>21</v>
      </c>
      <c r="I99">
        <v>1</v>
      </c>
      <c r="J99" t="s">
        <v>358</v>
      </c>
    </row>
    <row r="100" spans="1:10" x14ac:dyDescent="0.3">
      <c r="A100" s="1">
        <v>40135</v>
      </c>
      <c r="B100" t="s">
        <v>0</v>
      </c>
      <c r="C100" t="s">
        <v>359</v>
      </c>
      <c r="D100" t="s">
        <v>1</v>
      </c>
      <c r="E100" t="s">
        <v>17</v>
      </c>
      <c r="F100" t="s">
        <v>360</v>
      </c>
      <c r="G100" t="s">
        <v>38</v>
      </c>
      <c r="H100" t="s">
        <v>149</v>
      </c>
      <c r="I100">
        <v>2</v>
      </c>
      <c r="J100" t="s">
        <v>361</v>
      </c>
    </row>
    <row r="101" spans="1:10" x14ac:dyDescent="0.3">
      <c r="A101" s="1">
        <v>40149</v>
      </c>
      <c r="B101" t="s">
        <v>0</v>
      </c>
      <c r="C101" t="s">
        <v>362</v>
      </c>
      <c r="D101" t="s">
        <v>286</v>
      </c>
      <c r="E101" t="s">
        <v>287</v>
      </c>
      <c r="G101" t="s">
        <v>38</v>
      </c>
      <c r="H101" t="s">
        <v>80</v>
      </c>
      <c r="I101">
        <v>1</v>
      </c>
      <c r="J101" t="s">
        <v>266</v>
      </c>
    </row>
    <row r="102" spans="1:10" x14ac:dyDescent="0.3">
      <c r="A102" s="1">
        <v>40150</v>
      </c>
      <c r="B102" t="s">
        <v>0</v>
      </c>
      <c r="C102" t="s">
        <v>362</v>
      </c>
      <c r="D102" t="s">
        <v>286</v>
      </c>
      <c r="E102" t="s">
        <v>289</v>
      </c>
      <c r="G102" t="s">
        <v>38</v>
      </c>
      <c r="H102" t="s">
        <v>30</v>
      </c>
      <c r="I102">
        <v>1</v>
      </c>
      <c r="J102" t="s">
        <v>83</v>
      </c>
    </row>
    <row r="103" spans="1:10" x14ac:dyDescent="0.3">
      <c r="A103" s="1">
        <v>40151</v>
      </c>
      <c r="B103" t="s">
        <v>0</v>
      </c>
      <c r="C103" t="s">
        <v>362</v>
      </c>
      <c r="D103" t="s">
        <v>286</v>
      </c>
      <c r="E103" t="s">
        <v>288</v>
      </c>
      <c r="G103" t="s">
        <v>38</v>
      </c>
      <c r="H103" t="s">
        <v>39</v>
      </c>
      <c r="I103">
        <v>1</v>
      </c>
      <c r="J103" t="s">
        <v>230</v>
      </c>
    </row>
    <row r="104" spans="1:10" x14ac:dyDescent="0.3">
      <c r="A104" s="1">
        <v>40152</v>
      </c>
      <c r="B104" t="s">
        <v>0</v>
      </c>
      <c r="C104" t="s">
        <v>362</v>
      </c>
      <c r="D104" t="s">
        <v>286</v>
      </c>
      <c r="E104" t="s">
        <v>46</v>
      </c>
      <c r="G104" t="s">
        <v>38</v>
      </c>
      <c r="H104" t="s">
        <v>21</v>
      </c>
      <c r="I104">
        <v>1</v>
      </c>
      <c r="J104" t="s">
        <v>10</v>
      </c>
    </row>
    <row r="105" spans="1:10" x14ac:dyDescent="0.3">
      <c r="A105" s="1">
        <v>40153</v>
      </c>
      <c r="B105" t="s">
        <v>0</v>
      </c>
      <c r="C105" t="s">
        <v>362</v>
      </c>
      <c r="D105" t="s">
        <v>286</v>
      </c>
      <c r="E105" t="s">
        <v>47</v>
      </c>
      <c r="G105" t="s">
        <v>38</v>
      </c>
      <c r="H105" t="s">
        <v>20</v>
      </c>
      <c r="I105">
        <v>1</v>
      </c>
      <c r="J105" t="s">
        <v>249</v>
      </c>
    </row>
    <row r="106" spans="1:10" x14ac:dyDescent="0.3">
      <c r="A106" s="1">
        <v>40191</v>
      </c>
      <c r="B106" t="s">
        <v>0</v>
      </c>
      <c r="C106" t="s">
        <v>364</v>
      </c>
      <c r="D106" t="s">
        <v>1</v>
      </c>
      <c r="E106" t="s">
        <v>17</v>
      </c>
      <c r="F106" t="s">
        <v>365</v>
      </c>
      <c r="G106" t="s">
        <v>38</v>
      </c>
      <c r="H106" t="s">
        <v>25</v>
      </c>
      <c r="I106">
        <v>1</v>
      </c>
      <c r="J106" t="s">
        <v>267</v>
      </c>
    </row>
    <row r="107" spans="1:10" x14ac:dyDescent="0.3">
      <c r="A107" s="1">
        <v>40192</v>
      </c>
      <c r="B107" t="s">
        <v>0</v>
      </c>
      <c r="C107" t="s">
        <v>364</v>
      </c>
      <c r="D107" t="s">
        <v>1</v>
      </c>
      <c r="E107" t="s">
        <v>40</v>
      </c>
      <c r="F107" t="s">
        <v>365</v>
      </c>
      <c r="G107" t="s">
        <v>38</v>
      </c>
      <c r="H107" t="s">
        <v>158</v>
      </c>
      <c r="I107">
        <v>1</v>
      </c>
      <c r="J107" t="s">
        <v>148</v>
      </c>
    </row>
    <row r="108" spans="1:10" x14ac:dyDescent="0.3">
      <c r="A108" s="1">
        <v>40193</v>
      </c>
      <c r="B108" t="s">
        <v>0</v>
      </c>
      <c r="C108" t="s">
        <v>364</v>
      </c>
      <c r="D108" t="s">
        <v>1</v>
      </c>
      <c r="E108" t="s">
        <v>42</v>
      </c>
      <c r="F108" t="s">
        <v>365</v>
      </c>
      <c r="G108" t="s">
        <v>38</v>
      </c>
      <c r="H108" t="s">
        <v>23</v>
      </c>
      <c r="I108">
        <v>1</v>
      </c>
      <c r="J108" t="s">
        <v>100</v>
      </c>
    </row>
    <row r="109" spans="1:10" x14ac:dyDescent="0.3">
      <c r="A109" s="1">
        <v>40194</v>
      </c>
      <c r="B109" t="s">
        <v>0</v>
      </c>
      <c r="C109" t="s">
        <v>364</v>
      </c>
      <c r="D109" t="s">
        <v>1</v>
      </c>
      <c r="E109" t="s">
        <v>46</v>
      </c>
      <c r="F109" t="s">
        <v>365</v>
      </c>
      <c r="G109" t="s">
        <v>38</v>
      </c>
      <c r="H109" t="s">
        <v>28</v>
      </c>
      <c r="I109">
        <v>1</v>
      </c>
      <c r="J109" t="s">
        <v>150</v>
      </c>
    </row>
    <row r="110" spans="1:10" x14ac:dyDescent="0.3">
      <c r="A110" s="1">
        <v>40195</v>
      </c>
      <c r="B110" t="s">
        <v>0</v>
      </c>
      <c r="C110" t="s">
        <v>364</v>
      </c>
      <c r="D110" t="s">
        <v>1</v>
      </c>
      <c r="E110" t="s">
        <v>47</v>
      </c>
      <c r="F110" t="s">
        <v>365</v>
      </c>
      <c r="G110" t="s">
        <v>38</v>
      </c>
      <c r="H110" t="s">
        <v>21</v>
      </c>
      <c r="I110">
        <v>1</v>
      </c>
      <c r="J110" t="s">
        <v>314</v>
      </c>
    </row>
    <row r="111" spans="1:10" x14ac:dyDescent="0.3">
      <c r="A111" s="1">
        <v>40198</v>
      </c>
      <c r="B111" t="s">
        <v>0</v>
      </c>
      <c r="C111" t="s">
        <v>366</v>
      </c>
      <c r="D111" t="s">
        <v>1</v>
      </c>
      <c r="E111" t="s">
        <v>17</v>
      </c>
      <c r="F111" t="s">
        <v>367</v>
      </c>
      <c r="G111" t="s">
        <v>38</v>
      </c>
      <c r="H111" t="s">
        <v>62</v>
      </c>
      <c r="I111">
        <v>1</v>
      </c>
      <c r="J111" t="s">
        <v>368</v>
      </c>
    </row>
    <row r="112" spans="1:10" x14ac:dyDescent="0.3">
      <c r="A112" s="1">
        <v>40199</v>
      </c>
      <c r="B112" t="s">
        <v>0</v>
      </c>
      <c r="C112" t="s">
        <v>366</v>
      </c>
      <c r="D112" t="s">
        <v>1</v>
      </c>
      <c r="E112" t="s">
        <v>40</v>
      </c>
      <c r="F112" t="s">
        <v>367</v>
      </c>
      <c r="G112" t="s">
        <v>38</v>
      </c>
      <c r="H112" t="s">
        <v>120</v>
      </c>
      <c r="I112">
        <v>1</v>
      </c>
      <c r="J112" t="s">
        <v>370</v>
      </c>
    </row>
    <row r="113" spans="1:10" x14ac:dyDescent="0.3">
      <c r="A113" s="1">
        <v>40200</v>
      </c>
      <c r="B113" t="s">
        <v>0</v>
      </c>
      <c r="C113" t="s">
        <v>366</v>
      </c>
      <c r="D113" t="s">
        <v>1</v>
      </c>
      <c r="E113" t="s">
        <v>42</v>
      </c>
      <c r="F113" t="s">
        <v>367</v>
      </c>
      <c r="G113" t="s">
        <v>38</v>
      </c>
      <c r="H113" t="s">
        <v>28</v>
      </c>
      <c r="I113">
        <v>1</v>
      </c>
      <c r="J113" t="s">
        <v>371</v>
      </c>
    </row>
    <row r="114" spans="1:10" x14ac:dyDescent="0.3">
      <c r="A114" s="1">
        <v>40201</v>
      </c>
      <c r="B114" t="s">
        <v>0</v>
      </c>
      <c r="C114" t="s">
        <v>366</v>
      </c>
      <c r="D114" t="s">
        <v>1</v>
      </c>
      <c r="E114" t="s">
        <v>46</v>
      </c>
      <c r="F114" t="s">
        <v>367</v>
      </c>
      <c r="G114" t="s">
        <v>38</v>
      </c>
      <c r="H114" t="s">
        <v>9</v>
      </c>
      <c r="I114">
        <v>1</v>
      </c>
      <c r="J114" t="s">
        <v>22</v>
      </c>
    </row>
    <row r="115" spans="1:10" x14ac:dyDescent="0.3">
      <c r="A115" s="1">
        <v>40202</v>
      </c>
      <c r="B115" t="s">
        <v>0</v>
      </c>
      <c r="C115" t="s">
        <v>366</v>
      </c>
      <c r="D115" t="s">
        <v>1</v>
      </c>
      <c r="E115" t="s">
        <v>47</v>
      </c>
      <c r="F115" t="s">
        <v>367</v>
      </c>
      <c r="G115" t="s">
        <v>38</v>
      </c>
      <c r="H115" t="s">
        <v>23</v>
      </c>
      <c r="I115">
        <v>1</v>
      </c>
      <c r="J115" t="s">
        <v>101</v>
      </c>
    </row>
    <row r="116" spans="1:10" x14ac:dyDescent="0.3">
      <c r="A116" s="1">
        <v>40247</v>
      </c>
      <c r="B116" t="s">
        <v>0</v>
      </c>
      <c r="C116" t="s">
        <v>373</v>
      </c>
      <c r="D116" t="s">
        <v>1</v>
      </c>
      <c r="E116" t="s">
        <v>17</v>
      </c>
      <c r="F116" t="s">
        <v>374</v>
      </c>
      <c r="G116" t="s">
        <v>38</v>
      </c>
      <c r="H116" t="s">
        <v>19</v>
      </c>
      <c r="I116">
        <v>1</v>
      </c>
      <c r="J116" t="s">
        <v>13</v>
      </c>
    </row>
    <row r="117" spans="1:10" x14ac:dyDescent="0.3">
      <c r="A117" s="1">
        <v>40248</v>
      </c>
      <c r="B117" t="s">
        <v>0</v>
      </c>
      <c r="C117" t="s">
        <v>373</v>
      </c>
      <c r="D117" t="s">
        <v>1</v>
      </c>
      <c r="E117" t="s">
        <v>40</v>
      </c>
      <c r="F117" t="s">
        <v>374</v>
      </c>
      <c r="G117" t="s">
        <v>38</v>
      </c>
      <c r="H117" t="s">
        <v>3</v>
      </c>
      <c r="I117">
        <v>1</v>
      </c>
      <c r="J117" t="s">
        <v>246</v>
      </c>
    </row>
    <row r="118" spans="1:10" x14ac:dyDescent="0.3">
      <c r="A118" s="1">
        <v>40249</v>
      </c>
      <c r="B118" t="s">
        <v>0</v>
      </c>
      <c r="C118" t="s">
        <v>373</v>
      </c>
      <c r="D118" t="s">
        <v>1</v>
      </c>
      <c r="E118" t="s">
        <v>42</v>
      </c>
      <c r="F118" t="s">
        <v>374</v>
      </c>
      <c r="G118" t="s">
        <v>38</v>
      </c>
      <c r="H118" t="s">
        <v>51</v>
      </c>
      <c r="I118">
        <v>1</v>
      </c>
      <c r="J118" t="s">
        <v>377</v>
      </c>
    </row>
    <row r="119" spans="1:10" x14ac:dyDescent="0.3">
      <c r="A119" s="1">
        <v>40250</v>
      </c>
      <c r="B119" t="s">
        <v>0</v>
      </c>
      <c r="C119" t="s">
        <v>373</v>
      </c>
      <c r="D119" t="s">
        <v>1</v>
      </c>
      <c r="E119" t="s">
        <v>46</v>
      </c>
      <c r="F119" t="s">
        <v>374</v>
      </c>
      <c r="G119" t="s">
        <v>38</v>
      </c>
      <c r="H119" t="s">
        <v>21</v>
      </c>
      <c r="I119">
        <v>1</v>
      </c>
      <c r="J119" t="s">
        <v>105</v>
      </c>
    </row>
    <row r="120" spans="1:10" x14ac:dyDescent="0.3">
      <c r="A120" s="1">
        <v>40251</v>
      </c>
      <c r="B120" t="s">
        <v>0</v>
      </c>
      <c r="C120" t="s">
        <v>373</v>
      </c>
      <c r="D120" t="s">
        <v>1</v>
      </c>
      <c r="E120" t="s">
        <v>47</v>
      </c>
      <c r="F120" t="s">
        <v>374</v>
      </c>
      <c r="G120" t="s">
        <v>38</v>
      </c>
      <c r="H120" t="s">
        <v>135</v>
      </c>
      <c r="I120">
        <v>1</v>
      </c>
      <c r="J120" t="s">
        <v>204</v>
      </c>
    </row>
    <row r="121" spans="1:10" x14ac:dyDescent="0.3">
      <c r="A121" s="1">
        <v>40345</v>
      </c>
      <c r="B121" t="s">
        <v>0</v>
      </c>
      <c r="C121" t="s">
        <v>379</v>
      </c>
      <c r="D121" t="s">
        <v>1</v>
      </c>
      <c r="E121" t="s">
        <v>17</v>
      </c>
      <c r="F121" t="s">
        <v>319</v>
      </c>
      <c r="G121" t="s">
        <v>38</v>
      </c>
      <c r="H121" t="s">
        <v>155</v>
      </c>
      <c r="I121">
        <v>1</v>
      </c>
      <c r="J121" t="s">
        <v>381</v>
      </c>
    </row>
    <row r="122" spans="1:10" x14ac:dyDescent="0.3">
      <c r="A122" s="1">
        <v>40346</v>
      </c>
      <c r="B122" t="s">
        <v>0</v>
      </c>
      <c r="C122" t="s">
        <v>379</v>
      </c>
      <c r="D122" t="s">
        <v>1</v>
      </c>
      <c r="E122" t="s">
        <v>40</v>
      </c>
      <c r="F122" t="s">
        <v>319</v>
      </c>
      <c r="G122" t="s">
        <v>38</v>
      </c>
      <c r="H122" t="s">
        <v>110</v>
      </c>
      <c r="I122">
        <v>1</v>
      </c>
      <c r="J122" t="s">
        <v>382</v>
      </c>
    </row>
    <row r="123" spans="1:10" x14ac:dyDescent="0.3">
      <c r="A123" s="1">
        <v>40347</v>
      </c>
      <c r="B123" t="s">
        <v>0</v>
      </c>
      <c r="C123" t="s">
        <v>379</v>
      </c>
      <c r="D123" t="s">
        <v>1</v>
      </c>
      <c r="E123" t="s">
        <v>42</v>
      </c>
      <c r="F123" t="s">
        <v>319</v>
      </c>
      <c r="G123" t="s">
        <v>38</v>
      </c>
      <c r="H123" t="s">
        <v>3</v>
      </c>
      <c r="I123">
        <v>2</v>
      </c>
      <c r="J123" t="s">
        <v>383</v>
      </c>
    </row>
    <row r="124" spans="1:10" x14ac:dyDescent="0.3">
      <c r="A124" s="1">
        <v>40352</v>
      </c>
      <c r="B124" t="s">
        <v>0</v>
      </c>
      <c r="C124" t="s">
        <v>384</v>
      </c>
      <c r="D124" t="s">
        <v>1</v>
      </c>
      <c r="E124" t="s">
        <v>17</v>
      </c>
      <c r="F124" t="s">
        <v>322</v>
      </c>
      <c r="G124" t="s">
        <v>38</v>
      </c>
      <c r="H124" t="s">
        <v>110</v>
      </c>
      <c r="I124">
        <v>1</v>
      </c>
      <c r="J124" t="s">
        <v>130</v>
      </c>
    </row>
    <row r="125" spans="1:10" x14ac:dyDescent="0.3">
      <c r="A125" s="1">
        <v>40353</v>
      </c>
      <c r="B125" t="s">
        <v>0</v>
      </c>
      <c r="C125" t="s">
        <v>384</v>
      </c>
      <c r="D125" t="s">
        <v>1</v>
      </c>
      <c r="E125" t="s">
        <v>40</v>
      </c>
      <c r="F125" t="s">
        <v>322</v>
      </c>
      <c r="G125" t="s">
        <v>38</v>
      </c>
      <c r="H125" t="s">
        <v>158</v>
      </c>
      <c r="I125">
        <v>1</v>
      </c>
      <c r="J125" t="s">
        <v>53</v>
      </c>
    </row>
    <row r="126" spans="1:10" x14ac:dyDescent="0.3">
      <c r="A126" s="1">
        <v>40354</v>
      </c>
      <c r="B126" t="s">
        <v>0</v>
      </c>
      <c r="C126" t="s">
        <v>384</v>
      </c>
      <c r="D126" t="s">
        <v>1</v>
      </c>
      <c r="E126" t="s">
        <v>42</v>
      </c>
      <c r="F126" t="s">
        <v>322</v>
      </c>
      <c r="G126" t="s">
        <v>38</v>
      </c>
      <c r="H126" t="s">
        <v>135</v>
      </c>
      <c r="I126">
        <v>1</v>
      </c>
      <c r="J126" t="s">
        <v>386</v>
      </c>
    </row>
    <row r="127" spans="1:10" x14ac:dyDescent="0.3">
      <c r="A127" s="1">
        <v>40355</v>
      </c>
      <c r="B127" t="s">
        <v>0</v>
      </c>
      <c r="C127" t="s">
        <v>384</v>
      </c>
      <c r="D127" t="s">
        <v>1</v>
      </c>
      <c r="E127" t="s">
        <v>46</v>
      </c>
      <c r="F127" t="s">
        <v>322</v>
      </c>
      <c r="G127" t="s">
        <v>38</v>
      </c>
      <c r="H127" t="s">
        <v>3</v>
      </c>
      <c r="I127">
        <v>1</v>
      </c>
      <c r="J127" t="s">
        <v>190</v>
      </c>
    </row>
    <row r="128" spans="1:10" x14ac:dyDescent="0.3">
      <c r="A128" s="1">
        <v>40356</v>
      </c>
      <c r="B128" t="s">
        <v>0</v>
      </c>
      <c r="C128" t="s">
        <v>384</v>
      </c>
      <c r="D128" t="s">
        <v>1</v>
      </c>
      <c r="E128" t="s">
        <v>47</v>
      </c>
      <c r="F128" t="s">
        <v>322</v>
      </c>
      <c r="G128" t="s">
        <v>38</v>
      </c>
      <c r="H128" t="s">
        <v>30</v>
      </c>
      <c r="I128">
        <v>1</v>
      </c>
      <c r="J128" t="s">
        <v>239</v>
      </c>
    </row>
    <row r="129" spans="1:10" x14ac:dyDescent="0.3">
      <c r="A129" s="1">
        <v>40366</v>
      </c>
      <c r="B129" t="s">
        <v>0</v>
      </c>
      <c r="C129" t="s">
        <v>387</v>
      </c>
      <c r="D129" t="s">
        <v>219</v>
      </c>
      <c r="E129" t="s">
        <v>222</v>
      </c>
      <c r="F129" t="s">
        <v>388</v>
      </c>
      <c r="G129" t="s">
        <v>38</v>
      </c>
      <c r="H129" t="s">
        <v>390</v>
      </c>
      <c r="I129">
        <v>1</v>
      </c>
      <c r="J129" t="s">
        <v>123</v>
      </c>
    </row>
    <row r="130" spans="1:10" x14ac:dyDescent="0.3">
      <c r="A130" s="1">
        <v>40366</v>
      </c>
      <c r="B130" t="s">
        <v>0</v>
      </c>
      <c r="C130" t="s">
        <v>387</v>
      </c>
      <c r="D130" t="s">
        <v>219</v>
      </c>
      <c r="E130" t="s">
        <v>17</v>
      </c>
      <c r="F130" t="s">
        <v>388</v>
      </c>
      <c r="G130" t="s">
        <v>38</v>
      </c>
      <c r="H130" t="s">
        <v>8</v>
      </c>
      <c r="I130">
        <v>1</v>
      </c>
      <c r="J130" t="s">
        <v>142</v>
      </c>
    </row>
    <row r="131" spans="1:10" x14ac:dyDescent="0.3">
      <c r="A131" s="1">
        <v>40367</v>
      </c>
      <c r="B131" t="s">
        <v>0</v>
      </c>
      <c r="C131" t="s">
        <v>387</v>
      </c>
      <c r="D131" t="s">
        <v>219</v>
      </c>
      <c r="E131" t="s">
        <v>40</v>
      </c>
      <c r="F131" t="s">
        <v>388</v>
      </c>
      <c r="G131" t="s">
        <v>38</v>
      </c>
      <c r="H131" t="s">
        <v>169</v>
      </c>
      <c r="I131">
        <v>1</v>
      </c>
      <c r="J131" t="s">
        <v>152</v>
      </c>
    </row>
    <row r="132" spans="1:10" x14ac:dyDescent="0.3">
      <c r="A132" s="1">
        <v>40368</v>
      </c>
      <c r="B132" t="s">
        <v>0</v>
      </c>
      <c r="C132" t="s">
        <v>387</v>
      </c>
      <c r="D132" t="s">
        <v>219</v>
      </c>
      <c r="E132" t="s">
        <v>42</v>
      </c>
      <c r="F132" t="s">
        <v>388</v>
      </c>
      <c r="G132" t="s">
        <v>38</v>
      </c>
      <c r="H132" t="s">
        <v>108</v>
      </c>
      <c r="I132">
        <v>1</v>
      </c>
      <c r="J132" t="s">
        <v>140</v>
      </c>
    </row>
    <row r="133" spans="1:10" x14ac:dyDescent="0.3">
      <c r="A133" s="1">
        <v>40369</v>
      </c>
      <c r="B133" t="s">
        <v>0</v>
      </c>
      <c r="C133" t="s">
        <v>387</v>
      </c>
      <c r="D133" t="s">
        <v>219</v>
      </c>
      <c r="E133" t="s">
        <v>46</v>
      </c>
      <c r="F133" t="s">
        <v>388</v>
      </c>
      <c r="G133" t="s">
        <v>38</v>
      </c>
      <c r="H133" t="s">
        <v>79</v>
      </c>
      <c r="I133">
        <v>1</v>
      </c>
      <c r="J133" t="s">
        <v>111</v>
      </c>
    </row>
    <row r="134" spans="1:10" x14ac:dyDescent="0.3">
      <c r="A134" s="1">
        <v>40370</v>
      </c>
      <c r="B134" t="s">
        <v>0</v>
      </c>
      <c r="C134" t="s">
        <v>387</v>
      </c>
      <c r="D134" t="s">
        <v>219</v>
      </c>
      <c r="E134" t="s">
        <v>47</v>
      </c>
      <c r="F134" t="s">
        <v>388</v>
      </c>
      <c r="G134" t="s">
        <v>38</v>
      </c>
      <c r="H134" t="s">
        <v>7</v>
      </c>
      <c r="I134">
        <v>1</v>
      </c>
      <c r="J134" t="s">
        <v>392</v>
      </c>
    </row>
    <row r="135" spans="1:10" x14ac:dyDescent="0.3">
      <c r="A135" s="1">
        <v>40386</v>
      </c>
      <c r="B135" t="s">
        <v>0</v>
      </c>
      <c r="C135" t="s">
        <v>393</v>
      </c>
      <c r="D135" t="s">
        <v>219</v>
      </c>
      <c r="E135" t="s">
        <v>222</v>
      </c>
      <c r="F135" t="s">
        <v>394</v>
      </c>
      <c r="G135" t="s">
        <v>38</v>
      </c>
      <c r="H135" t="s">
        <v>167</v>
      </c>
      <c r="I135">
        <v>1</v>
      </c>
      <c r="J135" t="s">
        <v>276</v>
      </c>
    </row>
    <row r="136" spans="1:10" x14ac:dyDescent="0.3">
      <c r="A136" s="1">
        <v>40387</v>
      </c>
      <c r="B136" t="s">
        <v>0</v>
      </c>
      <c r="C136" t="s">
        <v>393</v>
      </c>
      <c r="D136" t="s">
        <v>219</v>
      </c>
      <c r="E136" t="s">
        <v>17</v>
      </c>
      <c r="F136" t="s">
        <v>394</v>
      </c>
      <c r="G136" t="s">
        <v>38</v>
      </c>
      <c r="H136" t="s">
        <v>224</v>
      </c>
      <c r="I136">
        <v>1</v>
      </c>
      <c r="J136" t="s">
        <v>70</v>
      </c>
    </row>
    <row r="137" spans="1:10" x14ac:dyDescent="0.3">
      <c r="A137" s="1">
        <v>40388</v>
      </c>
      <c r="B137" t="s">
        <v>0</v>
      </c>
      <c r="C137" t="s">
        <v>393</v>
      </c>
      <c r="D137" t="s">
        <v>219</v>
      </c>
      <c r="E137" t="s">
        <v>40</v>
      </c>
      <c r="F137" t="s">
        <v>394</v>
      </c>
      <c r="G137" t="s">
        <v>38</v>
      </c>
      <c r="H137" t="s">
        <v>227</v>
      </c>
      <c r="I137">
        <v>1</v>
      </c>
      <c r="J137" t="s">
        <v>180</v>
      </c>
    </row>
    <row r="138" spans="1:10" x14ac:dyDescent="0.3">
      <c r="A138" s="1">
        <v>40389</v>
      </c>
      <c r="B138" t="s">
        <v>0</v>
      </c>
      <c r="C138" t="s">
        <v>393</v>
      </c>
      <c r="D138" t="s">
        <v>219</v>
      </c>
      <c r="E138" t="s">
        <v>42</v>
      </c>
      <c r="F138" t="s">
        <v>394</v>
      </c>
      <c r="G138" t="s">
        <v>38</v>
      </c>
      <c r="H138" t="s">
        <v>51</v>
      </c>
      <c r="I138">
        <v>1</v>
      </c>
      <c r="J138" t="s">
        <v>84</v>
      </c>
    </row>
    <row r="139" spans="1:10" x14ac:dyDescent="0.3">
      <c r="A139" s="1">
        <v>40390</v>
      </c>
      <c r="B139" t="s">
        <v>0</v>
      </c>
      <c r="C139" t="s">
        <v>393</v>
      </c>
      <c r="D139" t="s">
        <v>219</v>
      </c>
      <c r="E139" t="s">
        <v>46</v>
      </c>
      <c r="F139" t="s">
        <v>394</v>
      </c>
      <c r="G139" t="s">
        <v>38</v>
      </c>
      <c r="H139" t="s">
        <v>68</v>
      </c>
      <c r="I139">
        <v>1</v>
      </c>
      <c r="J139" t="s">
        <v>396</v>
      </c>
    </row>
    <row r="140" spans="1:10" x14ac:dyDescent="0.3">
      <c r="A140" s="1">
        <v>40443</v>
      </c>
      <c r="B140" t="s">
        <v>0</v>
      </c>
      <c r="C140" t="s">
        <v>399</v>
      </c>
      <c r="D140" t="s">
        <v>1</v>
      </c>
      <c r="E140" t="s">
        <v>17</v>
      </c>
      <c r="F140" t="s">
        <v>400</v>
      </c>
      <c r="G140" t="s">
        <v>38</v>
      </c>
      <c r="H140" t="s">
        <v>221</v>
      </c>
      <c r="I140">
        <v>1</v>
      </c>
      <c r="J140" t="s">
        <v>232</v>
      </c>
    </row>
    <row r="141" spans="1:10" x14ac:dyDescent="0.3">
      <c r="A141" s="1">
        <v>40444</v>
      </c>
      <c r="B141" t="s">
        <v>0</v>
      </c>
      <c r="C141" t="s">
        <v>399</v>
      </c>
      <c r="D141" t="s">
        <v>1</v>
      </c>
      <c r="E141" t="s">
        <v>40</v>
      </c>
      <c r="F141" t="s">
        <v>400</v>
      </c>
      <c r="G141" t="s">
        <v>38</v>
      </c>
      <c r="H141" t="s">
        <v>135</v>
      </c>
      <c r="I141">
        <v>1</v>
      </c>
      <c r="J141" t="s">
        <v>242</v>
      </c>
    </row>
    <row r="142" spans="1:10" x14ac:dyDescent="0.3">
      <c r="A142" s="1">
        <v>40445</v>
      </c>
      <c r="B142" t="s">
        <v>0</v>
      </c>
      <c r="C142" t="s">
        <v>399</v>
      </c>
      <c r="D142" t="s">
        <v>1</v>
      </c>
      <c r="E142" t="s">
        <v>42</v>
      </c>
      <c r="F142" t="s">
        <v>400</v>
      </c>
      <c r="G142" t="s">
        <v>38</v>
      </c>
      <c r="H142" t="s">
        <v>39</v>
      </c>
      <c r="I142">
        <v>1</v>
      </c>
      <c r="J142" t="s">
        <v>242</v>
      </c>
    </row>
    <row r="143" spans="1:10" x14ac:dyDescent="0.3">
      <c r="A143" s="1">
        <v>40446</v>
      </c>
      <c r="B143" t="s">
        <v>0</v>
      </c>
      <c r="C143" t="s">
        <v>399</v>
      </c>
      <c r="D143" t="s">
        <v>1</v>
      </c>
      <c r="E143" t="s">
        <v>46</v>
      </c>
      <c r="F143" t="s">
        <v>400</v>
      </c>
      <c r="G143" t="s">
        <v>38</v>
      </c>
      <c r="H143" t="s">
        <v>23</v>
      </c>
      <c r="I143">
        <v>1</v>
      </c>
      <c r="J143" t="s">
        <v>202</v>
      </c>
    </row>
    <row r="144" spans="1:10" x14ac:dyDescent="0.3">
      <c r="A144" s="1">
        <v>40447</v>
      </c>
      <c r="B144" t="s">
        <v>0</v>
      </c>
      <c r="C144" t="s">
        <v>399</v>
      </c>
      <c r="D144" t="s">
        <v>1</v>
      </c>
      <c r="E144" t="s">
        <v>47</v>
      </c>
      <c r="F144" t="s">
        <v>400</v>
      </c>
      <c r="G144" t="s">
        <v>38</v>
      </c>
      <c r="H144" t="s">
        <v>29</v>
      </c>
      <c r="I144">
        <v>1</v>
      </c>
      <c r="J144" t="s">
        <v>401</v>
      </c>
    </row>
    <row r="145" spans="1:10" x14ac:dyDescent="0.3">
      <c r="A145" s="1">
        <v>40520</v>
      </c>
      <c r="B145" t="s">
        <v>0</v>
      </c>
      <c r="C145" t="s">
        <v>407</v>
      </c>
      <c r="D145" t="s">
        <v>1</v>
      </c>
      <c r="E145" t="s">
        <v>17</v>
      </c>
      <c r="F145" t="s">
        <v>356</v>
      </c>
      <c r="G145" t="s">
        <v>38</v>
      </c>
      <c r="H145" t="s">
        <v>146</v>
      </c>
      <c r="I145">
        <v>1</v>
      </c>
      <c r="J145" t="s">
        <v>147</v>
      </c>
    </row>
    <row r="146" spans="1:10" x14ac:dyDescent="0.3">
      <c r="A146" s="1">
        <v>40521</v>
      </c>
      <c r="B146" t="s">
        <v>0</v>
      </c>
      <c r="C146" t="s">
        <v>407</v>
      </c>
      <c r="D146" t="s">
        <v>1</v>
      </c>
      <c r="E146" t="s">
        <v>40</v>
      </c>
      <c r="F146" t="s">
        <v>356</v>
      </c>
      <c r="G146" t="s">
        <v>38</v>
      </c>
      <c r="H146" t="s">
        <v>338</v>
      </c>
      <c r="I146">
        <v>1</v>
      </c>
      <c r="J146" t="s">
        <v>199</v>
      </c>
    </row>
    <row r="147" spans="1:10" x14ac:dyDescent="0.3">
      <c r="A147" s="1">
        <v>40523</v>
      </c>
      <c r="B147" t="s">
        <v>0</v>
      </c>
      <c r="C147" t="s">
        <v>407</v>
      </c>
      <c r="D147" t="s">
        <v>1</v>
      </c>
      <c r="E147" t="s">
        <v>46</v>
      </c>
      <c r="F147" t="s">
        <v>356</v>
      </c>
      <c r="G147" t="s">
        <v>38</v>
      </c>
      <c r="H147" t="s">
        <v>9</v>
      </c>
      <c r="I147">
        <v>1</v>
      </c>
      <c r="J147" t="s">
        <v>12</v>
      </c>
    </row>
    <row r="148" spans="1:10" x14ac:dyDescent="0.3">
      <c r="A148" s="1">
        <v>40524</v>
      </c>
      <c r="B148" t="s">
        <v>0</v>
      </c>
      <c r="C148" t="s">
        <v>407</v>
      </c>
      <c r="D148" t="s">
        <v>1</v>
      </c>
      <c r="E148" t="s">
        <v>47</v>
      </c>
      <c r="F148" t="s">
        <v>356</v>
      </c>
      <c r="G148" t="s">
        <v>38</v>
      </c>
      <c r="H148" t="s">
        <v>30</v>
      </c>
      <c r="I148">
        <v>1</v>
      </c>
      <c r="J148" t="s">
        <v>132</v>
      </c>
    </row>
    <row r="149" spans="1:10" x14ac:dyDescent="0.3">
      <c r="A149" s="1">
        <v>40548</v>
      </c>
      <c r="B149" t="s">
        <v>0</v>
      </c>
      <c r="C149" t="s">
        <v>410</v>
      </c>
      <c r="D149" t="s">
        <v>286</v>
      </c>
      <c r="E149" t="s">
        <v>289</v>
      </c>
      <c r="G149" t="s">
        <v>38</v>
      </c>
      <c r="H149" t="s">
        <v>9</v>
      </c>
      <c r="I149">
        <v>1</v>
      </c>
      <c r="J149" t="s">
        <v>188</v>
      </c>
    </row>
    <row r="150" spans="1:10" x14ac:dyDescent="0.3">
      <c r="A150" s="1">
        <v>40549</v>
      </c>
      <c r="B150" t="s">
        <v>0</v>
      </c>
      <c r="C150" t="s">
        <v>410</v>
      </c>
      <c r="D150" t="s">
        <v>286</v>
      </c>
      <c r="E150" t="s">
        <v>287</v>
      </c>
      <c r="G150" t="s">
        <v>38</v>
      </c>
      <c r="H150" t="s">
        <v>149</v>
      </c>
      <c r="I150">
        <v>1</v>
      </c>
      <c r="J150" t="s">
        <v>151</v>
      </c>
    </row>
    <row r="151" spans="1:10" x14ac:dyDescent="0.3">
      <c r="A151" s="1">
        <v>40550</v>
      </c>
      <c r="B151" t="s">
        <v>0</v>
      </c>
      <c r="C151" t="s">
        <v>410</v>
      </c>
      <c r="D151" t="s">
        <v>286</v>
      </c>
      <c r="E151" t="s">
        <v>288</v>
      </c>
      <c r="G151" t="s">
        <v>38</v>
      </c>
      <c r="H151" t="s">
        <v>21</v>
      </c>
      <c r="I151">
        <v>1</v>
      </c>
      <c r="J151" t="s">
        <v>153</v>
      </c>
    </row>
    <row r="152" spans="1:10" x14ac:dyDescent="0.3">
      <c r="A152" s="1">
        <v>40551</v>
      </c>
      <c r="B152" t="s">
        <v>0</v>
      </c>
      <c r="C152" t="s">
        <v>410</v>
      </c>
      <c r="D152" t="s">
        <v>286</v>
      </c>
      <c r="E152" t="s">
        <v>46</v>
      </c>
      <c r="G152" t="s">
        <v>38</v>
      </c>
      <c r="H152" t="s">
        <v>23</v>
      </c>
      <c r="I152">
        <v>1</v>
      </c>
      <c r="J152" t="s">
        <v>119</v>
      </c>
    </row>
    <row r="153" spans="1:10" x14ac:dyDescent="0.3">
      <c r="A153" s="1">
        <v>40552</v>
      </c>
      <c r="B153" t="s">
        <v>0</v>
      </c>
      <c r="C153" t="s">
        <v>410</v>
      </c>
      <c r="D153" t="s">
        <v>286</v>
      </c>
      <c r="E153" t="s">
        <v>47</v>
      </c>
      <c r="G153" t="s">
        <v>38</v>
      </c>
      <c r="H153" t="s">
        <v>21</v>
      </c>
      <c r="I153">
        <v>1</v>
      </c>
      <c r="J153" t="s">
        <v>53</v>
      </c>
    </row>
    <row r="154" spans="1:10" x14ac:dyDescent="0.3">
      <c r="A154" s="1">
        <v>40562</v>
      </c>
      <c r="B154" t="s">
        <v>0</v>
      </c>
      <c r="C154" t="s">
        <v>411</v>
      </c>
      <c r="D154" t="s">
        <v>1</v>
      </c>
      <c r="E154" t="s">
        <v>17</v>
      </c>
      <c r="F154" t="s">
        <v>412</v>
      </c>
      <c r="G154" t="s">
        <v>38</v>
      </c>
      <c r="H154" t="s">
        <v>65</v>
      </c>
      <c r="I154">
        <v>1</v>
      </c>
      <c r="J154" t="s">
        <v>119</v>
      </c>
    </row>
    <row r="155" spans="1:10" x14ac:dyDescent="0.3">
      <c r="A155" s="1">
        <v>40563</v>
      </c>
      <c r="B155" t="s">
        <v>0</v>
      </c>
      <c r="C155" t="s">
        <v>411</v>
      </c>
      <c r="D155" t="s">
        <v>1</v>
      </c>
      <c r="E155" t="s">
        <v>40</v>
      </c>
      <c r="F155" t="s">
        <v>412</v>
      </c>
      <c r="G155" t="s">
        <v>38</v>
      </c>
      <c r="H155" t="s">
        <v>220</v>
      </c>
      <c r="I155">
        <v>1</v>
      </c>
      <c r="J155" t="s">
        <v>277</v>
      </c>
    </row>
    <row r="156" spans="1:10" x14ac:dyDescent="0.3">
      <c r="A156" s="1">
        <v>40564</v>
      </c>
      <c r="B156" t="s">
        <v>0</v>
      </c>
      <c r="C156" t="s">
        <v>411</v>
      </c>
      <c r="D156" t="s">
        <v>1</v>
      </c>
      <c r="E156" t="s">
        <v>42</v>
      </c>
      <c r="F156" t="s">
        <v>412</v>
      </c>
      <c r="G156" t="s">
        <v>38</v>
      </c>
      <c r="H156" t="s">
        <v>9</v>
      </c>
      <c r="I156">
        <v>1</v>
      </c>
      <c r="J156" t="s">
        <v>13</v>
      </c>
    </row>
    <row r="157" spans="1:10" x14ac:dyDescent="0.3">
      <c r="A157" s="1">
        <v>40565</v>
      </c>
      <c r="B157" t="s">
        <v>0</v>
      </c>
      <c r="C157" t="s">
        <v>411</v>
      </c>
      <c r="D157" t="s">
        <v>1</v>
      </c>
      <c r="E157" t="s">
        <v>46</v>
      </c>
      <c r="F157" t="s">
        <v>412</v>
      </c>
      <c r="G157" t="s">
        <v>38</v>
      </c>
      <c r="H157" t="s">
        <v>253</v>
      </c>
      <c r="I157">
        <v>1</v>
      </c>
      <c r="J157" t="s">
        <v>212</v>
      </c>
    </row>
    <row r="158" spans="1:10" x14ac:dyDescent="0.3">
      <c r="A158" s="1">
        <v>40566</v>
      </c>
      <c r="B158" t="s">
        <v>0</v>
      </c>
      <c r="C158" t="s">
        <v>411</v>
      </c>
      <c r="D158" t="s">
        <v>1</v>
      </c>
      <c r="E158" t="s">
        <v>47</v>
      </c>
      <c r="F158" t="s">
        <v>412</v>
      </c>
      <c r="G158" t="s">
        <v>38</v>
      </c>
      <c r="H158" t="s">
        <v>30</v>
      </c>
      <c r="I158">
        <v>1</v>
      </c>
      <c r="J158" t="s">
        <v>127</v>
      </c>
    </row>
    <row r="159" spans="1:10" x14ac:dyDescent="0.3">
      <c r="A159" s="1">
        <v>40569</v>
      </c>
      <c r="B159" t="s">
        <v>0</v>
      </c>
      <c r="C159" t="s">
        <v>413</v>
      </c>
      <c r="D159" t="s">
        <v>286</v>
      </c>
      <c r="E159" t="s">
        <v>17</v>
      </c>
      <c r="F159" t="s">
        <v>48</v>
      </c>
      <c r="G159" t="s">
        <v>38</v>
      </c>
      <c r="H159" t="s">
        <v>149</v>
      </c>
      <c r="I159">
        <v>1</v>
      </c>
      <c r="J159" t="s">
        <v>414</v>
      </c>
    </row>
    <row r="160" spans="1:10" x14ac:dyDescent="0.3">
      <c r="A160" s="1">
        <v>40570</v>
      </c>
      <c r="B160" t="s">
        <v>0</v>
      </c>
      <c r="C160" t="s">
        <v>413</v>
      </c>
      <c r="D160" t="s">
        <v>286</v>
      </c>
      <c r="E160" t="s">
        <v>40</v>
      </c>
      <c r="F160" t="s">
        <v>48</v>
      </c>
      <c r="G160" t="s">
        <v>38</v>
      </c>
      <c r="H160" t="s">
        <v>20</v>
      </c>
      <c r="I160">
        <v>1</v>
      </c>
      <c r="J160" t="s">
        <v>159</v>
      </c>
    </row>
    <row r="161" spans="1:10" x14ac:dyDescent="0.3">
      <c r="A161" s="1">
        <v>40571</v>
      </c>
      <c r="B161" t="s">
        <v>0</v>
      </c>
      <c r="C161" t="s">
        <v>413</v>
      </c>
      <c r="D161" t="s">
        <v>286</v>
      </c>
      <c r="E161" t="s">
        <v>42</v>
      </c>
      <c r="F161" t="s">
        <v>48</v>
      </c>
      <c r="G161" t="s">
        <v>38</v>
      </c>
      <c r="H161" t="s">
        <v>338</v>
      </c>
      <c r="I161">
        <v>1</v>
      </c>
      <c r="J161" t="s">
        <v>59</v>
      </c>
    </row>
    <row r="162" spans="1:10" x14ac:dyDescent="0.3">
      <c r="A162" s="1">
        <v>40572</v>
      </c>
      <c r="B162" t="s">
        <v>0</v>
      </c>
      <c r="C162" t="s">
        <v>413</v>
      </c>
      <c r="D162" t="s">
        <v>286</v>
      </c>
      <c r="E162" t="s">
        <v>46</v>
      </c>
      <c r="F162" t="s">
        <v>48</v>
      </c>
      <c r="G162" t="s">
        <v>38</v>
      </c>
      <c r="H162" t="s">
        <v>120</v>
      </c>
      <c r="I162">
        <v>1</v>
      </c>
      <c r="J162" t="s">
        <v>242</v>
      </c>
    </row>
    <row r="163" spans="1:10" x14ac:dyDescent="0.3">
      <c r="A163" s="1">
        <v>40573</v>
      </c>
      <c r="B163" t="s">
        <v>0</v>
      </c>
      <c r="C163" t="s">
        <v>413</v>
      </c>
      <c r="D163" t="s">
        <v>286</v>
      </c>
      <c r="E163" t="s">
        <v>47</v>
      </c>
      <c r="F163" t="s">
        <v>48</v>
      </c>
      <c r="G163" t="s">
        <v>38</v>
      </c>
      <c r="H163" t="s">
        <v>29</v>
      </c>
      <c r="I163">
        <v>2</v>
      </c>
      <c r="J163" t="s">
        <v>415</v>
      </c>
    </row>
    <row r="164" spans="1:10" x14ac:dyDescent="0.3">
      <c r="A164" s="1">
        <v>40611</v>
      </c>
      <c r="B164" t="s">
        <v>0</v>
      </c>
      <c r="C164" t="s">
        <v>416</v>
      </c>
      <c r="D164" t="s">
        <v>286</v>
      </c>
      <c r="E164" t="s">
        <v>17</v>
      </c>
      <c r="F164" t="s">
        <v>374</v>
      </c>
      <c r="G164" t="s">
        <v>38</v>
      </c>
      <c r="H164" t="s">
        <v>155</v>
      </c>
      <c r="I164">
        <v>1</v>
      </c>
      <c r="J164" t="s">
        <v>278</v>
      </c>
    </row>
    <row r="165" spans="1:10" x14ac:dyDescent="0.3">
      <c r="A165" s="1">
        <v>40612</v>
      </c>
      <c r="B165" t="s">
        <v>0</v>
      </c>
      <c r="C165" t="s">
        <v>416</v>
      </c>
      <c r="D165" t="s">
        <v>286</v>
      </c>
      <c r="E165" t="s">
        <v>40</v>
      </c>
      <c r="F165" t="s">
        <v>374</v>
      </c>
      <c r="G165" t="s">
        <v>38</v>
      </c>
      <c r="H165" t="s">
        <v>39</v>
      </c>
      <c r="I165">
        <v>1</v>
      </c>
      <c r="J165" t="s">
        <v>269</v>
      </c>
    </row>
    <row r="166" spans="1:10" x14ac:dyDescent="0.3">
      <c r="A166" s="1">
        <v>40613</v>
      </c>
      <c r="B166" t="s">
        <v>0</v>
      </c>
      <c r="C166" t="s">
        <v>416</v>
      </c>
      <c r="D166" t="s">
        <v>286</v>
      </c>
      <c r="E166" t="s">
        <v>42</v>
      </c>
      <c r="F166" t="s">
        <v>374</v>
      </c>
      <c r="G166" t="s">
        <v>38</v>
      </c>
      <c r="H166" t="s">
        <v>23</v>
      </c>
      <c r="I166">
        <v>1</v>
      </c>
      <c r="J166" t="s">
        <v>264</v>
      </c>
    </row>
    <row r="167" spans="1:10" x14ac:dyDescent="0.3">
      <c r="A167" s="1">
        <v>40614</v>
      </c>
      <c r="B167" t="s">
        <v>0</v>
      </c>
      <c r="C167" t="s">
        <v>416</v>
      </c>
      <c r="D167" t="s">
        <v>286</v>
      </c>
      <c r="E167" t="s">
        <v>46</v>
      </c>
      <c r="F167" t="s">
        <v>374</v>
      </c>
      <c r="G167" t="s">
        <v>38</v>
      </c>
      <c r="H167" t="s">
        <v>253</v>
      </c>
      <c r="I167">
        <v>1</v>
      </c>
      <c r="J167" t="s">
        <v>181</v>
      </c>
    </row>
    <row r="168" spans="1:10" x14ac:dyDescent="0.3">
      <c r="A168" s="1">
        <v>40615</v>
      </c>
      <c r="B168" t="s">
        <v>0</v>
      </c>
      <c r="C168" t="s">
        <v>416</v>
      </c>
      <c r="D168" t="s">
        <v>286</v>
      </c>
      <c r="E168" t="s">
        <v>47</v>
      </c>
      <c r="F168" t="s">
        <v>374</v>
      </c>
      <c r="G168" t="s">
        <v>38</v>
      </c>
      <c r="H168" t="s">
        <v>29</v>
      </c>
      <c r="I168">
        <v>1</v>
      </c>
      <c r="J168" t="s">
        <v>249</v>
      </c>
    </row>
    <row r="169" spans="1:10" x14ac:dyDescent="0.3">
      <c r="A169" s="1">
        <v>40660</v>
      </c>
      <c r="B169" t="s">
        <v>0</v>
      </c>
      <c r="C169" t="s">
        <v>417</v>
      </c>
      <c r="D169" t="s">
        <v>1</v>
      </c>
      <c r="E169" t="s">
        <v>17</v>
      </c>
      <c r="F169" t="s">
        <v>378</v>
      </c>
      <c r="G169" t="s">
        <v>38</v>
      </c>
      <c r="H169" t="s">
        <v>79</v>
      </c>
      <c r="I169">
        <v>1</v>
      </c>
      <c r="J169" t="s">
        <v>113</v>
      </c>
    </row>
    <row r="170" spans="1:10" x14ac:dyDescent="0.3">
      <c r="A170" s="1">
        <v>40661</v>
      </c>
      <c r="B170" t="s">
        <v>0</v>
      </c>
      <c r="C170" t="s">
        <v>417</v>
      </c>
      <c r="D170" t="s">
        <v>1</v>
      </c>
      <c r="E170" t="s">
        <v>40</v>
      </c>
      <c r="F170" t="s">
        <v>378</v>
      </c>
      <c r="G170" t="s">
        <v>38</v>
      </c>
      <c r="H170" t="s">
        <v>54</v>
      </c>
      <c r="I170">
        <v>1</v>
      </c>
      <c r="J170" t="s">
        <v>4</v>
      </c>
    </row>
    <row r="171" spans="1:10" x14ac:dyDescent="0.3">
      <c r="A171" s="1">
        <v>40662</v>
      </c>
      <c r="B171" t="s">
        <v>0</v>
      </c>
      <c r="C171" t="s">
        <v>417</v>
      </c>
      <c r="D171" t="s">
        <v>1</v>
      </c>
      <c r="E171" t="s">
        <v>42</v>
      </c>
      <c r="F171" t="s">
        <v>378</v>
      </c>
      <c r="G171" t="s">
        <v>38</v>
      </c>
      <c r="H171" t="s">
        <v>255</v>
      </c>
      <c r="I171">
        <v>1</v>
      </c>
      <c r="J171" t="s">
        <v>294</v>
      </c>
    </row>
    <row r="172" spans="1:10" x14ac:dyDescent="0.3">
      <c r="A172" s="1">
        <v>40663</v>
      </c>
      <c r="B172" t="s">
        <v>0</v>
      </c>
      <c r="C172" t="s">
        <v>417</v>
      </c>
      <c r="D172" t="s">
        <v>1</v>
      </c>
      <c r="E172" t="s">
        <v>46</v>
      </c>
      <c r="F172" t="s">
        <v>378</v>
      </c>
      <c r="G172" t="s">
        <v>38</v>
      </c>
      <c r="H172" t="s">
        <v>220</v>
      </c>
      <c r="I172">
        <v>1</v>
      </c>
      <c r="J172" t="s">
        <v>372</v>
      </c>
    </row>
    <row r="173" spans="1:10" x14ac:dyDescent="0.3">
      <c r="A173" s="1">
        <v>40664</v>
      </c>
      <c r="B173" t="s">
        <v>0</v>
      </c>
      <c r="C173" t="s">
        <v>417</v>
      </c>
      <c r="D173" t="s">
        <v>1</v>
      </c>
      <c r="E173" t="s">
        <v>47</v>
      </c>
      <c r="F173" t="s">
        <v>378</v>
      </c>
      <c r="G173" t="s">
        <v>38</v>
      </c>
      <c r="H173" t="s">
        <v>21</v>
      </c>
      <c r="I173">
        <v>1</v>
      </c>
      <c r="J173" t="s">
        <v>418</v>
      </c>
    </row>
    <row r="174" spans="1:10" x14ac:dyDescent="0.3">
      <c r="A174" s="1">
        <v>40667</v>
      </c>
      <c r="B174" t="s">
        <v>0</v>
      </c>
      <c r="C174" t="s">
        <v>419</v>
      </c>
      <c r="D174" t="s">
        <v>219</v>
      </c>
      <c r="E174" t="s">
        <v>222</v>
      </c>
      <c r="F174" t="s">
        <v>420</v>
      </c>
      <c r="G174" t="s">
        <v>38</v>
      </c>
      <c r="H174" t="s">
        <v>208</v>
      </c>
      <c r="I174">
        <v>1</v>
      </c>
      <c r="J174" t="s">
        <v>144</v>
      </c>
    </row>
    <row r="175" spans="1:10" x14ac:dyDescent="0.3">
      <c r="A175" s="1">
        <v>40667</v>
      </c>
      <c r="B175" t="s">
        <v>0</v>
      </c>
      <c r="C175" t="s">
        <v>419</v>
      </c>
      <c r="D175" t="s">
        <v>219</v>
      </c>
      <c r="E175" t="s">
        <v>17</v>
      </c>
      <c r="F175" t="s">
        <v>420</v>
      </c>
      <c r="G175" t="s">
        <v>38</v>
      </c>
      <c r="H175" t="s">
        <v>136</v>
      </c>
      <c r="I175">
        <v>1</v>
      </c>
      <c r="J175" t="s">
        <v>265</v>
      </c>
    </row>
    <row r="176" spans="1:10" x14ac:dyDescent="0.3">
      <c r="A176" s="1">
        <v>40668</v>
      </c>
      <c r="B176" t="s">
        <v>0</v>
      </c>
      <c r="C176" t="s">
        <v>419</v>
      </c>
      <c r="D176" t="s">
        <v>219</v>
      </c>
      <c r="E176" t="s">
        <v>40</v>
      </c>
      <c r="F176" t="s">
        <v>420</v>
      </c>
      <c r="G176" t="s">
        <v>38</v>
      </c>
      <c r="H176" t="s">
        <v>65</v>
      </c>
      <c r="I176">
        <v>1</v>
      </c>
      <c r="J176" t="s">
        <v>204</v>
      </c>
    </row>
    <row r="177" spans="1:10" x14ac:dyDescent="0.3">
      <c r="A177" s="1">
        <v>40669</v>
      </c>
      <c r="B177" t="s">
        <v>0</v>
      </c>
      <c r="C177" t="s">
        <v>419</v>
      </c>
      <c r="D177" t="s">
        <v>219</v>
      </c>
      <c r="E177" t="s">
        <v>42</v>
      </c>
      <c r="F177" t="s">
        <v>420</v>
      </c>
      <c r="G177" t="s">
        <v>38</v>
      </c>
      <c r="H177" t="s">
        <v>155</v>
      </c>
      <c r="I177">
        <v>1</v>
      </c>
      <c r="J177" t="s">
        <v>55</v>
      </c>
    </row>
    <row r="178" spans="1:10" x14ac:dyDescent="0.3">
      <c r="A178" s="1">
        <v>40670</v>
      </c>
      <c r="B178" t="s">
        <v>0</v>
      </c>
      <c r="C178" t="s">
        <v>419</v>
      </c>
      <c r="D178" t="s">
        <v>219</v>
      </c>
      <c r="E178" t="s">
        <v>46</v>
      </c>
      <c r="F178" t="s">
        <v>420</v>
      </c>
      <c r="G178" t="s">
        <v>38</v>
      </c>
      <c r="H178" t="s">
        <v>137</v>
      </c>
      <c r="I178">
        <v>1</v>
      </c>
      <c r="J178" t="s">
        <v>82</v>
      </c>
    </row>
    <row r="179" spans="1:10" x14ac:dyDescent="0.3">
      <c r="A179" s="1">
        <v>40671</v>
      </c>
      <c r="B179" t="s">
        <v>0</v>
      </c>
      <c r="C179" t="s">
        <v>419</v>
      </c>
      <c r="D179" t="s">
        <v>219</v>
      </c>
      <c r="E179" t="s">
        <v>47</v>
      </c>
      <c r="F179" t="s">
        <v>420</v>
      </c>
      <c r="G179" t="s">
        <v>38</v>
      </c>
      <c r="H179" t="s">
        <v>39</v>
      </c>
      <c r="I179">
        <v>1</v>
      </c>
      <c r="J179" t="s">
        <v>317</v>
      </c>
    </row>
    <row r="180" spans="1:10" x14ac:dyDescent="0.3">
      <c r="A180" s="1">
        <v>40716</v>
      </c>
      <c r="B180" t="s">
        <v>0</v>
      </c>
      <c r="C180" t="s">
        <v>423</v>
      </c>
      <c r="D180" t="s">
        <v>286</v>
      </c>
      <c r="E180" t="s">
        <v>17</v>
      </c>
      <c r="G180" t="s">
        <v>38</v>
      </c>
      <c r="H180" t="s">
        <v>65</v>
      </c>
      <c r="I180">
        <v>1</v>
      </c>
      <c r="J180" t="s">
        <v>349</v>
      </c>
    </row>
    <row r="181" spans="1:10" x14ac:dyDescent="0.3">
      <c r="A181" s="1">
        <v>40717</v>
      </c>
      <c r="B181" t="s">
        <v>0</v>
      </c>
      <c r="C181" t="s">
        <v>423</v>
      </c>
      <c r="D181" t="s">
        <v>286</v>
      </c>
      <c r="E181" t="s">
        <v>40</v>
      </c>
      <c r="G181" t="s">
        <v>38</v>
      </c>
      <c r="H181" t="s">
        <v>169</v>
      </c>
      <c r="I181">
        <v>1</v>
      </c>
      <c r="J181" t="s">
        <v>164</v>
      </c>
    </row>
    <row r="182" spans="1:10" x14ac:dyDescent="0.3">
      <c r="A182" s="1">
        <v>40718</v>
      </c>
      <c r="B182" t="s">
        <v>0</v>
      </c>
      <c r="C182" t="s">
        <v>423</v>
      </c>
      <c r="D182" t="s">
        <v>286</v>
      </c>
      <c r="E182" t="s">
        <v>42</v>
      </c>
      <c r="G182" t="s">
        <v>38</v>
      </c>
      <c r="H182" t="s">
        <v>9</v>
      </c>
      <c r="I182">
        <v>1</v>
      </c>
      <c r="J182" t="s">
        <v>130</v>
      </c>
    </row>
    <row r="183" spans="1:10" x14ac:dyDescent="0.3">
      <c r="A183" s="1">
        <v>40719</v>
      </c>
      <c r="B183" t="s">
        <v>0</v>
      </c>
      <c r="C183" t="s">
        <v>423</v>
      </c>
      <c r="D183" t="s">
        <v>286</v>
      </c>
      <c r="E183" t="s">
        <v>46</v>
      </c>
      <c r="G183" t="s">
        <v>38</v>
      </c>
      <c r="H183" t="s">
        <v>253</v>
      </c>
      <c r="I183">
        <v>1</v>
      </c>
      <c r="J183" t="s">
        <v>119</v>
      </c>
    </row>
    <row r="184" spans="1:10" x14ac:dyDescent="0.3">
      <c r="A184" s="1">
        <v>40720</v>
      </c>
      <c r="B184" t="s">
        <v>0</v>
      </c>
      <c r="C184" t="s">
        <v>423</v>
      </c>
      <c r="D184" t="s">
        <v>286</v>
      </c>
      <c r="E184" t="s">
        <v>47</v>
      </c>
      <c r="G184" t="s">
        <v>38</v>
      </c>
      <c r="H184" t="s">
        <v>21</v>
      </c>
      <c r="I184">
        <v>1</v>
      </c>
      <c r="J184" t="s">
        <v>237</v>
      </c>
    </row>
    <row r="185" spans="1:10" x14ac:dyDescent="0.3">
      <c r="A185" s="1">
        <v>40763</v>
      </c>
      <c r="B185" t="s">
        <v>0</v>
      </c>
      <c r="C185" t="s">
        <v>424</v>
      </c>
      <c r="D185" t="s">
        <v>425</v>
      </c>
      <c r="E185" t="s">
        <v>222</v>
      </c>
      <c r="F185" t="s">
        <v>426</v>
      </c>
      <c r="G185" t="s">
        <v>38</v>
      </c>
      <c r="H185" t="s">
        <v>227</v>
      </c>
      <c r="I185">
        <v>1</v>
      </c>
      <c r="J185" t="s">
        <v>177</v>
      </c>
    </row>
    <row r="186" spans="1:10" x14ac:dyDescent="0.3">
      <c r="A186" s="1">
        <v>40765</v>
      </c>
      <c r="B186" t="s">
        <v>0</v>
      </c>
      <c r="C186" t="s">
        <v>424</v>
      </c>
      <c r="D186" t="s">
        <v>425</v>
      </c>
      <c r="E186" t="s">
        <v>17</v>
      </c>
      <c r="F186" t="s">
        <v>426</v>
      </c>
      <c r="G186" t="s">
        <v>38</v>
      </c>
      <c r="H186" t="s">
        <v>66</v>
      </c>
      <c r="I186">
        <v>1</v>
      </c>
      <c r="J186" t="s">
        <v>162</v>
      </c>
    </row>
    <row r="187" spans="1:10" x14ac:dyDescent="0.3">
      <c r="A187" s="1">
        <v>40766</v>
      </c>
      <c r="B187" t="s">
        <v>0</v>
      </c>
      <c r="C187" t="s">
        <v>424</v>
      </c>
      <c r="D187" t="s">
        <v>425</v>
      </c>
      <c r="E187" t="s">
        <v>40</v>
      </c>
      <c r="F187" t="s">
        <v>426</v>
      </c>
      <c r="G187" t="s">
        <v>38</v>
      </c>
      <c r="H187" t="s">
        <v>20</v>
      </c>
      <c r="I187">
        <v>1</v>
      </c>
      <c r="J187" t="s">
        <v>333</v>
      </c>
    </row>
    <row r="188" spans="1:10" x14ac:dyDescent="0.3">
      <c r="A188" s="1">
        <v>40767</v>
      </c>
      <c r="B188" t="s">
        <v>0</v>
      </c>
      <c r="C188" t="s">
        <v>424</v>
      </c>
      <c r="D188" t="s">
        <v>425</v>
      </c>
      <c r="E188" t="s">
        <v>42</v>
      </c>
      <c r="F188" t="s">
        <v>426</v>
      </c>
      <c r="G188" t="s">
        <v>38</v>
      </c>
      <c r="H188" t="s">
        <v>234</v>
      </c>
      <c r="I188">
        <v>1</v>
      </c>
      <c r="J188" t="s">
        <v>213</v>
      </c>
    </row>
    <row r="189" spans="1:10" x14ac:dyDescent="0.3">
      <c r="A189" s="1">
        <v>40768</v>
      </c>
      <c r="B189" t="s">
        <v>0</v>
      </c>
      <c r="C189" t="s">
        <v>424</v>
      </c>
      <c r="D189" t="s">
        <v>425</v>
      </c>
      <c r="E189" t="s">
        <v>46</v>
      </c>
      <c r="F189" t="s">
        <v>426</v>
      </c>
      <c r="G189" t="s">
        <v>38</v>
      </c>
      <c r="H189" t="s">
        <v>28</v>
      </c>
      <c r="I189">
        <v>1</v>
      </c>
      <c r="J189" t="s">
        <v>190</v>
      </c>
    </row>
    <row r="190" spans="1:10" x14ac:dyDescent="0.3">
      <c r="A190" s="1">
        <v>40769</v>
      </c>
      <c r="B190" t="s">
        <v>0</v>
      </c>
      <c r="C190" t="s">
        <v>424</v>
      </c>
      <c r="D190" t="s">
        <v>425</v>
      </c>
      <c r="E190" t="s">
        <v>47</v>
      </c>
      <c r="F190" t="s">
        <v>426</v>
      </c>
      <c r="G190" t="s">
        <v>38</v>
      </c>
      <c r="H190" t="s">
        <v>29</v>
      </c>
      <c r="I190">
        <v>2</v>
      </c>
      <c r="J190" t="s">
        <v>428</v>
      </c>
    </row>
    <row r="191" spans="1:10" x14ac:dyDescent="0.3">
      <c r="A191" s="1">
        <v>40807</v>
      </c>
      <c r="B191" t="s">
        <v>0</v>
      </c>
      <c r="C191" t="s">
        <v>430</v>
      </c>
      <c r="D191" t="s">
        <v>1</v>
      </c>
      <c r="E191" t="s">
        <v>17</v>
      </c>
      <c r="F191" t="s">
        <v>348</v>
      </c>
      <c r="G191" t="s">
        <v>38</v>
      </c>
      <c r="H191" t="s">
        <v>62</v>
      </c>
      <c r="I191">
        <v>1</v>
      </c>
      <c r="J191" t="s">
        <v>161</v>
      </c>
    </row>
    <row r="192" spans="1:10" x14ac:dyDescent="0.3">
      <c r="A192" s="1">
        <v>40808</v>
      </c>
      <c r="B192" t="s">
        <v>0</v>
      </c>
      <c r="C192" t="s">
        <v>430</v>
      </c>
      <c r="D192" t="s">
        <v>1</v>
      </c>
      <c r="E192" t="s">
        <v>40</v>
      </c>
      <c r="F192" t="s">
        <v>348</v>
      </c>
      <c r="G192" t="s">
        <v>38</v>
      </c>
      <c r="H192" t="s">
        <v>338</v>
      </c>
      <c r="I192">
        <v>1</v>
      </c>
      <c r="J192" t="s">
        <v>205</v>
      </c>
    </row>
    <row r="193" spans="1:10" x14ac:dyDescent="0.3">
      <c r="A193" s="1">
        <v>40809</v>
      </c>
      <c r="B193" t="s">
        <v>0</v>
      </c>
      <c r="C193" t="s">
        <v>430</v>
      </c>
      <c r="D193" t="s">
        <v>1</v>
      </c>
      <c r="E193" t="s">
        <v>42</v>
      </c>
      <c r="F193" t="s">
        <v>348</v>
      </c>
      <c r="G193" t="s">
        <v>38</v>
      </c>
      <c r="H193" t="s">
        <v>135</v>
      </c>
      <c r="I193">
        <v>1</v>
      </c>
      <c r="J193" t="s">
        <v>431</v>
      </c>
    </row>
    <row r="194" spans="1:10" x14ac:dyDescent="0.3">
      <c r="A194" s="1">
        <v>40810</v>
      </c>
      <c r="B194" t="s">
        <v>0</v>
      </c>
      <c r="C194" t="s">
        <v>430</v>
      </c>
      <c r="D194" t="s">
        <v>1</v>
      </c>
      <c r="E194" t="s">
        <v>46</v>
      </c>
      <c r="F194" t="s">
        <v>348</v>
      </c>
      <c r="G194" t="s">
        <v>38</v>
      </c>
      <c r="H194" t="s">
        <v>21</v>
      </c>
      <c r="I194">
        <v>1</v>
      </c>
      <c r="J194" t="s">
        <v>283</v>
      </c>
    </row>
    <row r="195" spans="1:10" x14ac:dyDescent="0.3">
      <c r="A195" s="1">
        <v>40811</v>
      </c>
      <c r="B195" t="s">
        <v>0</v>
      </c>
      <c r="C195" t="s">
        <v>430</v>
      </c>
      <c r="D195" t="s">
        <v>1</v>
      </c>
      <c r="E195" t="s">
        <v>47</v>
      </c>
      <c r="F195" t="s">
        <v>348</v>
      </c>
      <c r="G195" t="s">
        <v>38</v>
      </c>
      <c r="H195" t="s">
        <v>253</v>
      </c>
      <c r="I195">
        <v>2</v>
      </c>
      <c r="J195" t="s">
        <v>432</v>
      </c>
    </row>
    <row r="196" spans="1:10" x14ac:dyDescent="0.3">
      <c r="A196" s="1">
        <v>40835</v>
      </c>
      <c r="B196" t="s">
        <v>0</v>
      </c>
      <c r="C196" t="s">
        <v>433</v>
      </c>
      <c r="D196" t="s">
        <v>286</v>
      </c>
      <c r="E196" t="s">
        <v>17</v>
      </c>
      <c r="G196" t="s">
        <v>38</v>
      </c>
      <c r="H196" t="s">
        <v>61</v>
      </c>
      <c r="I196">
        <v>1</v>
      </c>
      <c r="J196" t="s">
        <v>150</v>
      </c>
    </row>
    <row r="197" spans="1:10" x14ac:dyDescent="0.3">
      <c r="A197" s="1">
        <v>40836</v>
      </c>
      <c r="B197" t="s">
        <v>0</v>
      </c>
      <c r="C197" t="s">
        <v>433</v>
      </c>
      <c r="D197" t="s">
        <v>286</v>
      </c>
      <c r="E197" t="s">
        <v>40</v>
      </c>
      <c r="G197" t="s">
        <v>38</v>
      </c>
      <c r="H197" t="s">
        <v>63</v>
      </c>
      <c r="I197">
        <v>1</v>
      </c>
      <c r="J197" t="s">
        <v>44</v>
      </c>
    </row>
    <row r="198" spans="1:10" x14ac:dyDescent="0.3">
      <c r="A198" s="1">
        <v>40837</v>
      </c>
      <c r="B198" t="s">
        <v>0</v>
      </c>
      <c r="C198" t="s">
        <v>433</v>
      </c>
      <c r="D198" t="s">
        <v>286</v>
      </c>
      <c r="E198" t="s">
        <v>42</v>
      </c>
      <c r="G198" t="s">
        <v>38</v>
      </c>
      <c r="H198" t="s">
        <v>28</v>
      </c>
      <c r="I198">
        <v>1</v>
      </c>
      <c r="J198" t="s">
        <v>59</v>
      </c>
    </row>
    <row r="199" spans="1:10" x14ac:dyDescent="0.3">
      <c r="A199" s="1">
        <v>40838</v>
      </c>
      <c r="B199" t="s">
        <v>0</v>
      </c>
      <c r="C199" t="s">
        <v>433</v>
      </c>
      <c r="D199" t="s">
        <v>286</v>
      </c>
      <c r="E199" t="s">
        <v>46</v>
      </c>
      <c r="G199" t="s">
        <v>38</v>
      </c>
      <c r="H199" t="s">
        <v>21</v>
      </c>
      <c r="I199">
        <v>1</v>
      </c>
      <c r="J199" t="s">
        <v>31</v>
      </c>
    </row>
    <row r="200" spans="1:10" x14ac:dyDescent="0.3">
      <c r="A200" s="1">
        <v>40839</v>
      </c>
      <c r="B200" t="s">
        <v>0</v>
      </c>
      <c r="C200" t="s">
        <v>433</v>
      </c>
      <c r="D200" t="s">
        <v>286</v>
      </c>
      <c r="E200" t="s">
        <v>47</v>
      </c>
      <c r="G200" t="s">
        <v>38</v>
      </c>
      <c r="H200" t="s">
        <v>253</v>
      </c>
      <c r="I200">
        <v>2</v>
      </c>
      <c r="J200" t="s">
        <v>87</v>
      </c>
    </row>
    <row r="201" spans="1:10" x14ac:dyDescent="0.3">
      <c r="A201" s="1">
        <v>40842</v>
      </c>
      <c r="B201" t="s">
        <v>0</v>
      </c>
      <c r="C201" t="s">
        <v>435</v>
      </c>
      <c r="D201" t="s">
        <v>1</v>
      </c>
      <c r="E201" t="s">
        <v>17</v>
      </c>
      <c r="F201" t="s">
        <v>354</v>
      </c>
      <c r="G201" t="s">
        <v>38</v>
      </c>
      <c r="H201" t="s">
        <v>158</v>
      </c>
      <c r="I201">
        <v>1</v>
      </c>
      <c r="J201" t="s">
        <v>111</v>
      </c>
    </row>
    <row r="202" spans="1:10" x14ac:dyDescent="0.3">
      <c r="A202" s="1">
        <v>40843</v>
      </c>
      <c r="B202" t="s">
        <v>0</v>
      </c>
      <c r="C202" t="s">
        <v>435</v>
      </c>
      <c r="D202" t="s">
        <v>1</v>
      </c>
      <c r="E202" t="s">
        <v>40</v>
      </c>
      <c r="F202" t="s">
        <v>354</v>
      </c>
      <c r="G202" t="s">
        <v>38</v>
      </c>
      <c r="H202" t="s">
        <v>155</v>
      </c>
      <c r="I202">
        <v>1</v>
      </c>
      <c r="J202" t="s">
        <v>150</v>
      </c>
    </row>
    <row r="203" spans="1:10" x14ac:dyDescent="0.3">
      <c r="A203" s="1">
        <v>40844</v>
      </c>
      <c r="B203" t="s">
        <v>0</v>
      </c>
      <c r="C203" t="s">
        <v>435</v>
      </c>
      <c r="D203" t="s">
        <v>1</v>
      </c>
      <c r="E203" t="s">
        <v>42</v>
      </c>
      <c r="F203" t="s">
        <v>354</v>
      </c>
      <c r="G203" t="s">
        <v>38</v>
      </c>
      <c r="H203" t="s">
        <v>51</v>
      </c>
      <c r="I203">
        <v>1</v>
      </c>
      <c r="J203" t="s">
        <v>18</v>
      </c>
    </row>
    <row r="204" spans="1:10" x14ac:dyDescent="0.3">
      <c r="A204" s="1">
        <v>40845</v>
      </c>
      <c r="B204" t="s">
        <v>0</v>
      </c>
      <c r="C204" t="s">
        <v>435</v>
      </c>
      <c r="D204" t="s">
        <v>1</v>
      </c>
      <c r="E204" t="s">
        <v>46</v>
      </c>
      <c r="F204" t="s">
        <v>354</v>
      </c>
      <c r="G204" t="s">
        <v>38</v>
      </c>
      <c r="H204" t="s">
        <v>253</v>
      </c>
      <c r="I204">
        <v>1</v>
      </c>
      <c r="J204" t="s">
        <v>437</v>
      </c>
    </row>
    <row r="205" spans="1:10" x14ac:dyDescent="0.3">
      <c r="A205" s="1">
        <v>40846</v>
      </c>
      <c r="B205" t="s">
        <v>0</v>
      </c>
      <c r="C205" t="s">
        <v>435</v>
      </c>
      <c r="D205" t="s">
        <v>1</v>
      </c>
      <c r="E205" t="s">
        <v>47</v>
      </c>
      <c r="F205" t="s">
        <v>354</v>
      </c>
      <c r="G205" t="s">
        <v>38</v>
      </c>
      <c r="H205" t="s">
        <v>135</v>
      </c>
      <c r="I205">
        <v>1</v>
      </c>
      <c r="J205" t="s">
        <v>78</v>
      </c>
    </row>
    <row r="206" spans="1:10" x14ac:dyDescent="0.3">
      <c r="A206" s="1">
        <v>40863</v>
      </c>
      <c r="B206" t="s">
        <v>0</v>
      </c>
      <c r="C206" t="s">
        <v>438</v>
      </c>
      <c r="D206" t="s">
        <v>1</v>
      </c>
      <c r="E206" t="s">
        <v>17</v>
      </c>
      <c r="F206" t="s">
        <v>439</v>
      </c>
      <c r="G206" t="s">
        <v>38</v>
      </c>
      <c r="H206" t="s">
        <v>195</v>
      </c>
      <c r="I206">
        <v>1</v>
      </c>
      <c r="J206" t="s">
        <v>104</v>
      </c>
    </row>
    <row r="207" spans="1:10" x14ac:dyDescent="0.3">
      <c r="A207" s="1">
        <v>40864</v>
      </c>
      <c r="B207" t="s">
        <v>0</v>
      </c>
      <c r="C207" t="s">
        <v>438</v>
      </c>
      <c r="D207" t="s">
        <v>1</v>
      </c>
      <c r="E207" t="s">
        <v>40</v>
      </c>
      <c r="F207" t="s">
        <v>439</v>
      </c>
      <c r="G207" t="s">
        <v>38</v>
      </c>
      <c r="H207" t="s">
        <v>398</v>
      </c>
      <c r="I207">
        <v>1</v>
      </c>
      <c r="J207" t="s">
        <v>178</v>
      </c>
    </row>
    <row r="208" spans="1:10" x14ac:dyDescent="0.3">
      <c r="A208" s="1">
        <v>40865</v>
      </c>
      <c r="B208" t="s">
        <v>0</v>
      </c>
      <c r="C208" t="s">
        <v>438</v>
      </c>
      <c r="D208" t="s">
        <v>1</v>
      </c>
      <c r="E208" t="s">
        <v>42</v>
      </c>
      <c r="F208" t="s">
        <v>439</v>
      </c>
      <c r="G208" t="s">
        <v>38</v>
      </c>
      <c r="H208" t="s">
        <v>79</v>
      </c>
      <c r="I208">
        <v>1</v>
      </c>
      <c r="J208" t="s">
        <v>111</v>
      </c>
    </row>
    <row r="209" spans="1:10" x14ac:dyDescent="0.3">
      <c r="A209" s="1">
        <v>40866</v>
      </c>
      <c r="B209" t="s">
        <v>0</v>
      </c>
      <c r="C209" t="s">
        <v>438</v>
      </c>
      <c r="D209" t="s">
        <v>1</v>
      </c>
      <c r="E209" t="s">
        <v>46</v>
      </c>
      <c r="F209" t="s">
        <v>439</v>
      </c>
      <c r="G209" t="s">
        <v>38</v>
      </c>
      <c r="H209" t="s">
        <v>29</v>
      </c>
      <c r="I209">
        <v>2</v>
      </c>
      <c r="J209" t="s">
        <v>197</v>
      </c>
    </row>
    <row r="210" spans="1:10" x14ac:dyDescent="0.3">
      <c r="A210" s="1">
        <v>40870</v>
      </c>
      <c r="B210" t="s">
        <v>0</v>
      </c>
      <c r="C210" t="s">
        <v>440</v>
      </c>
      <c r="D210" t="s">
        <v>286</v>
      </c>
      <c r="E210" t="s">
        <v>17</v>
      </c>
      <c r="F210" t="s">
        <v>118</v>
      </c>
      <c r="G210" t="s">
        <v>38</v>
      </c>
      <c r="H210" t="s">
        <v>34</v>
      </c>
      <c r="I210">
        <v>1</v>
      </c>
      <c r="J210" t="s">
        <v>235</v>
      </c>
    </row>
    <row r="211" spans="1:10" x14ac:dyDescent="0.3">
      <c r="A211" s="1">
        <v>40871</v>
      </c>
      <c r="B211" t="s">
        <v>0</v>
      </c>
      <c r="C211" t="s">
        <v>440</v>
      </c>
      <c r="D211" t="s">
        <v>286</v>
      </c>
      <c r="E211" t="s">
        <v>40</v>
      </c>
      <c r="F211" t="s">
        <v>118</v>
      </c>
      <c r="G211" t="s">
        <v>38</v>
      </c>
      <c r="H211" t="s">
        <v>135</v>
      </c>
      <c r="I211">
        <v>1</v>
      </c>
      <c r="J211" t="s">
        <v>175</v>
      </c>
    </row>
    <row r="212" spans="1:10" x14ac:dyDescent="0.3">
      <c r="A212" s="1">
        <v>40872</v>
      </c>
      <c r="B212" t="s">
        <v>0</v>
      </c>
      <c r="C212" t="s">
        <v>440</v>
      </c>
      <c r="D212" t="s">
        <v>286</v>
      </c>
      <c r="E212" t="s">
        <v>42</v>
      </c>
      <c r="F212" t="s">
        <v>118</v>
      </c>
      <c r="G212" t="s">
        <v>38</v>
      </c>
      <c r="H212" t="s">
        <v>137</v>
      </c>
      <c r="I212">
        <v>1</v>
      </c>
      <c r="J212" t="s">
        <v>151</v>
      </c>
    </row>
    <row r="213" spans="1:10" x14ac:dyDescent="0.3">
      <c r="A213" s="1">
        <v>40873</v>
      </c>
      <c r="B213" t="s">
        <v>0</v>
      </c>
      <c r="C213" t="s">
        <v>440</v>
      </c>
      <c r="D213" t="s">
        <v>286</v>
      </c>
      <c r="E213" t="s">
        <v>46</v>
      </c>
      <c r="F213" t="s">
        <v>118</v>
      </c>
      <c r="G213" t="s">
        <v>38</v>
      </c>
      <c r="H213" t="s">
        <v>29</v>
      </c>
      <c r="I213">
        <v>2</v>
      </c>
      <c r="J213" t="s">
        <v>427</v>
      </c>
    </row>
    <row r="214" spans="1:10" x14ac:dyDescent="0.3">
      <c r="A214" s="1">
        <v>40891</v>
      </c>
      <c r="B214" t="s">
        <v>0</v>
      </c>
      <c r="C214" t="s">
        <v>442</v>
      </c>
      <c r="D214" t="s">
        <v>286</v>
      </c>
      <c r="E214" t="s">
        <v>287</v>
      </c>
      <c r="F214" t="s">
        <v>118</v>
      </c>
      <c r="G214" t="s">
        <v>38</v>
      </c>
      <c r="H214" t="s">
        <v>137</v>
      </c>
      <c r="I214">
        <v>1</v>
      </c>
      <c r="J214" t="s">
        <v>443</v>
      </c>
    </row>
    <row r="215" spans="1:10" x14ac:dyDescent="0.3">
      <c r="A215" s="1">
        <v>40892</v>
      </c>
      <c r="B215" t="s">
        <v>0</v>
      </c>
      <c r="C215" t="s">
        <v>442</v>
      </c>
      <c r="D215" t="s">
        <v>286</v>
      </c>
      <c r="E215" t="s">
        <v>289</v>
      </c>
      <c r="F215" t="s">
        <v>118</v>
      </c>
      <c r="G215" t="s">
        <v>38</v>
      </c>
      <c r="H215" t="s">
        <v>68</v>
      </c>
      <c r="I215">
        <v>1</v>
      </c>
      <c r="J215" t="s">
        <v>254</v>
      </c>
    </row>
    <row r="216" spans="1:10" x14ac:dyDescent="0.3">
      <c r="A216" s="1">
        <v>40893</v>
      </c>
      <c r="B216" t="s">
        <v>0</v>
      </c>
      <c r="C216" t="s">
        <v>442</v>
      </c>
      <c r="D216" t="s">
        <v>286</v>
      </c>
      <c r="E216" t="s">
        <v>288</v>
      </c>
      <c r="F216" t="s">
        <v>118</v>
      </c>
      <c r="G216" t="s">
        <v>38</v>
      </c>
      <c r="H216" t="s">
        <v>21</v>
      </c>
      <c r="I216">
        <v>1</v>
      </c>
      <c r="J216" t="s">
        <v>397</v>
      </c>
    </row>
    <row r="217" spans="1:10" x14ac:dyDescent="0.3">
      <c r="A217" s="1">
        <v>40894</v>
      </c>
      <c r="B217" t="s">
        <v>0</v>
      </c>
      <c r="C217" t="s">
        <v>442</v>
      </c>
      <c r="D217" t="s">
        <v>286</v>
      </c>
      <c r="E217" t="s">
        <v>46</v>
      </c>
      <c r="F217" t="s">
        <v>118</v>
      </c>
      <c r="G217" t="s">
        <v>38</v>
      </c>
      <c r="H217" t="s">
        <v>253</v>
      </c>
      <c r="I217">
        <v>2</v>
      </c>
      <c r="J217" t="s">
        <v>444</v>
      </c>
    </row>
    <row r="218" spans="1:10" x14ac:dyDescent="0.3">
      <c r="A218" s="1">
        <v>40912</v>
      </c>
      <c r="B218" t="s">
        <v>0</v>
      </c>
      <c r="C218" t="s">
        <v>445</v>
      </c>
      <c r="D218" t="s">
        <v>286</v>
      </c>
      <c r="E218" t="s">
        <v>17</v>
      </c>
      <c r="F218" t="s">
        <v>446</v>
      </c>
      <c r="G218" t="s">
        <v>38</v>
      </c>
      <c r="H218" t="s">
        <v>223</v>
      </c>
      <c r="I218">
        <v>1</v>
      </c>
      <c r="J218" t="s">
        <v>129</v>
      </c>
    </row>
    <row r="219" spans="1:10" x14ac:dyDescent="0.3">
      <c r="A219" s="1">
        <v>40913</v>
      </c>
      <c r="B219" t="s">
        <v>0</v>
      </c>
      <c r="C219" t="s">
        <v>445</v>
      </c>
      <c r="D219" t="s">
        <v>286</v>
      </c>
      <c r="E219" t="s">
        <v>40</v>
      </c>
      <c r="F219" t="s">
        <v>446</v>
      </c>
      <c r="G219" t="s">
        <v>38</v>
      </c>
      <c r="H219" t="s">
        <v>51</v>
      </c>
      <c r="I219">
        <v>1</v>
      </c>
      <c r="J219" t="s">
        <v>447</v>
      </c>
    </row>
    <row r="220" spans="1:10" x14ac:dyDescent="0.3">
      <c r="A220" s="1">
        <v>40914</v>
      </c>
      <c r="B220" t="s">
        <v>0</v>
      </c>
      <c r="C220" t="s">
        <v>445</v>
      </c>
      <c r="D220" t="s">
        <v>286</v>
      </c>
      <c r="E220" t="s">
        <v>42</v>
      </c>
      <c r="F220" t="s">
        <v>446</v>
      </c>
      <c r="G220" t="s">
        <v>38</v>
      </c>
      <c r="H220" t="s">
        <v>135</v>
      </c>
      <c r="I220">
        <v>1</v>
      </c>
      <c r="J220" t="s">
        <v>86</v>
      </c>
    </row>
    <row r="221" spans="1:10" x14ac:dyDescent="0.3">
      <c r="A221" s="1">
        <v>40915</v>
      </c>
      <c r="B221" t="s">
        <v>0</v>
      </c>
      <c r="C221" t="s">
        <v>445</v>
      </c>
      <c r="D221" t="s">
        <v>286</v>
      </c>
      <c r="E221" t="s">
        <v>46</v>
      </c>
      <c r="F221" t="s">
        <v>446</v>
      </c>
      <c r="G221" t="s">
        <v>38</v>
      </c>
      <c r="H221" t="s">
        <v>120</v>
      </c>
      <c r="I221">
        <v>1</v>
      </c>
      <c r="J221" t="s">
        <v>233</v>
      </c>
    </row>
    <row r="222" spans="1:10" x14ac:dyDescent="0.3">
      <c r="A222" s="1">
        <v>40916</v>
      </c>
      <c r="B222" t="s">
        <v>0</v>
      </c>
      <c r="C222" t="s">
        <v>445</v>
      </c>
      <c r="D222" t="s">
        <v>286</v>
      </c>
      <c r="E222" t="s">
        <v>47</v>
      </c>
      <c r="F222" t="s">
        <v>446</v>
      </c>
      <c r="G222" t="s">
        <v>38</v>
      </c>
      <c r="H222" t="s">
        <v>29</v>
      </c>
      <c r="I222">
        <v>1</v>
      </c>
      <c r="J222" t="s">
        <v>448</v>
      </c>
    </row>
    <row r="223" spans="1:10" x14ac:dyDescent="0.3">
      <c r="A223" s="1">
        <v>40919</v>
      </c>
      <c r="B223" t="s">
        <v>0</v>
      </c>
      <c r="C223" t="s">
        <v>449</v>
      </c>
      <c r="D223" t="s">
        <v>1</v>
      </c>
      <c r="E223" t="s">
        <v>17</v>
      </c>
      <c r="F223" t="s">
        <v>450</v>
      </c>
      <c r="G223" t="s">
        <v>38</v>
      </c>
      <c r="H223" t="s">
        <v>8</v>
      </c>
      <c r="I223">
        <v>1</v>
      </c>
      <c r="J223" t="s">
        <v>369</v>
      </c>
    </row>
    <row r="224" spans="1:10" x14ac:dyDescent="0.3">
      <c r="A224" s="1">
        <v>40920</v>
      </c>
      <c r="B224" t="s">
        <v>0</v>
      </c>
      <c r="C224" t="s">
        <v>449</v>
      </c>
      <c r="D224" t="s">
        <v>1</v>
      </c>
      <c r="E224" t="s">
        <v>40</v>
      </c>
      <c r="F224" t="s">
        <v>450</v>
      </c>
      <c r="G224" t="s">
        <v>38</v>
      </c>
      <c r="H224" t="s">
        <v>244</v>
      </c>
      <c r="I224">
        <v>1</v>
      </c>
      <c r="J224" t="s">
        <v>109</v>
      </c>
    </row>
    <row r="225" spans="1:10" x14ac:dyDescent="0.3">
      <c r="A225" s="1">
        <v>40921</v>
      </c>
      <c r="B225" t="s">
        <v>0</v>
      </c>
      <c r="C225" t="s">
        <v>449</v>
      </c>
      <c r="D225" t="s">
        <v>1</v>
      </c>
      <c r="E225" t="s">
        <v>42</v>
      </c>
      <c r="F225" t="s">
        <v>450</v>
      </c>
      <c r="G225" t="s">
        <v>38</v>
      </c>
      <c r="H225" t="s">
        <v>30</v>
      </c>
      <c r="I225">
        <v>1</v>
      </c>
      <c r="J225" t="s">
        <v>125</v>
      </c>
    </row>
    <row r="226" spans="1:10" x14ac:dyDescent="0.3">
      <c r="A226" s="1">
        <v>40922</v>
      </c>
      <c r="B226" t="s">
        <v>0</v>
      </c>
      <c r="C226" t="s">
        <v>449</v>
      </c>
      <c r="D226" t="s">
        <v>1</v>
      </c>
      <c r="E226" t="s">
        <v>46</v>
      </c>
      <c r="F226" t="s">
        <v>450</v>
      </c>
      <c r="G226" t="s">
        <v>38</v>
      </c>
      <c r="H226" t="s">
        <v>253</v>
      </c>
      <c r="I226">
        <v>1</v>
      </c>
      <c r="J226" t="s">
        <v>451</v>
      </c>
    </row>
    <row r="227" spans="1:10" x14ac:dyDescent="0.3">
      <c r="A227" s="1">
        <v>40923</v>
      </c>
      <c r="B227" t="s">
        <v>0</v>
      </c>
      <c r="C227" t="s">
        <v>449</v>
      </c>
      <c r="D227" t="s">
        <v>1</v>
      </c>
      <c r="E227" t="s">
        <v>47</v>
      </c>
      <c r="F227" t="s">
        <v>450</v>
      </c>
      <c r="G227" t="s">
        <v>38</v>
      </c>
      <c r="H227" t="s">
        <v>135</v>
      </c>
      <c r="I227">
        <v>1</v>
      </c>
      <c r="J227" t="s">
        <v>83</v>
      </c>
    </row>
    <row r="228" spans="1:10" x14ac:dyDescent="0.3">
      <c r="A228" s="1">
        <v>40975</v>
      </c>
      <c r="B228" t="s">
        <v>0</v>
      </c>
      <c r="C228" t="s">
        <v>453</v>
      </c>
      <c r="D228" t="s">
        <v>286</v>
      </c>
      <c r="E228" t="s">
        <v>17</v>
      </c>
      <c r="F228" t="s">
        <v>374</v>
      </c>
      <c r="G228" t="s">
        <v>38</v>
      </c>
      <c r="H228" t="s">
        <v>338</v>
      </c>
      <c r="I228">
        <v>1</v>
      </c>
      <c r="J228" t="s">
        <v>78</v>
      </c>
    </row>
    <row r="229" spans="1:10" x14ac:dyDescent="0.3">
      <c r="A229" s="1">
        <v>40976</v>
      </c>
      <c r="B229" t="s">
        <v>0</v>
      </c>
      <c r="C229" t="s">
        <v>453</v>
      </c>
      <c r="D229" t="s">
        <v>286</v>
      </c>
      <c r="E229" t="s">
        <v>40</v>
      </c>
      <c r="F229" t="s">
        <v>374</v>
      </c>
      <c r="G229" t="s">
        <v>38</v>
      </c>
      <c r="H229" t="s">
        <v>64</v>
      </c>
      <c r="I229">
        <v>1</v>
      </c>
      <c r="J229" t="s">
        <v>395</v>
      </c>
    </row>
    <row r="230" spans="1:10" x14ac:dyDescent="0.3">
      <c r="A230" s="1">
        <v>40977</v>
      </c>
      <c r="B230" t="s">
        <v>0</v>
      </c>
      <c r="C230" t="s">
        <v>453</v>
      </c>
      <c r="D230" t="s">
        <v>286</v>
      </c>
      <c r="E230" t="s">
        <v>42</v>
      </c>
      <c r="F230" t="s">
        <v>374</v>
      </c>
      <c r="G230" t="s">
        <v>38</v>
      </c>
      <c r="H230" t="s">
        <v>110</v>
      </c>
      <c r="I230">
        <v>1</v>
      </c>
      <c r="J230" t="s">
        <v>278</v>
      </c>
    </row>
    <row r="231" spans="1:10" x14ac:dyDescent="0.3">
      <c r="A231" s="1">
        <v>40978</v>
      </c>
      <c r="B231" t="s">
        <v>0</v>
      </c>
      <c r="C231" t="s">
        <v>453</v>
      </c>
      <c r="D231" t="s">
        <v>286</v>
      </c>
      <c r="E231" t="s">
        <v>46</v>
      </c>
      <c r="F231" t="s">
        <v>374</v>
      </c>
      <c r="G231" t="s">
        <v>38</v>
      </c>
      <c r="H231" t="s">
        <v>54</v>
      </c>
      <c r="I231">
        <v>1</v>
      </c>
      <c r="J231" t="s">
        <v>113</v>
      </c>
    </row>
    <row r="232" spans="1:10" x14ac:dyDescent="0.3">
      <c r="A232" s="1">
        <v>40979</v>
      </c>
      <c r="B232" t="s">
        <v>0</v>
      </c>
      <c r="C232" t="s">
        <v>453</v>
      </c>
      <c r="D232" t="s">
        <v>286</v>
      </c>
      <c r="E232" t="s">
        <v>47</v>
      </c>
      <c r="F232" t="s">
        <v>374</v>
      </c>
      <c r="G232" t="s">
        <v>38</v>
      </c>
      <c r="H232" t="s">
        <v>29</v>
      </c>
      <c r="I232">
        <v>2</v>
      </c>
      <c r="J232" t="s">
        <v>454</v>
      </c>
    </row>
    <row r="233" spans="1:10" x14ac:dyDescent="0.3">
      <c r="A233" s="1">
        <v>41024</v>
      </c>
      <c r="B233" t="s">
        <v>0</v>
      </c>
      <c r="C233" t="s">
        <v>455</v>
      </c>
      <c r="D233" t="s">
        <v>1</v>
      </c>
      <c r="E233" t="s">
        <v>17</v>
      </c>
      <c r="F233" t="s">
        <v>378</v>
      </c>
      <c r="G233" t="s">
        <v>38</v>
      </c>
      <c r="H233" t="s">
        <v>223</v>
      </c>
      <c r="I233">
        <v>1</v>
      </c>
      <c r="J233" t="s">
        <v>352</v>
      </c>
    </row>
    <row r="234" spans="1:10" x14ac:dyDescent="0.3">
      <c r="A234" s="1">
        <v>41025</v>
      </c>
      <c r="B234" t="s">
        <v>0</v>
      </c>
      <c r="C234" t="s">
        <v>455</v>
      </c>
      <c r="D234" t="s">
        <v>1</v>
      </c>
      <c r="E234" t="s">
        <v>40</v>
      </c>
      <c r="F234" t="s">
        <v>378</v>
      </c>
      <c r="G234" t="s">
        <v>38</v>
      </c>
      <c r="H234" t="s">
        <v>79</v>
      </c>
      <c r="I234">
        <v>1</v>
      </c>
      <c r="J234" t="s">
        <v>456</v>
      </c>
    </row>
    <row r="235" spans="1:10" x14ac:dyDescent="0.3">
      <c r="A235" s="1">
        <v>41026</v>
      </c>
      <c r="B235" t="s">
        <v>0</v>
      </c>
      <c r="C235" t="s">
        <v>455</v>
      </c>
      <c r="D235" t="s">
        <v>1</v>
      </c>
      <c r="E235" t="s">
        <v>42</v>
      </c>
      <c r="F235" t="s">
        <v>378</v>
      </c>
      <c r="G235" t="s">
        <v>38</v>
      </c>
      <c r="H235" t="s">
        <v>30</v>
      </c>
      <c r="I235">
        <v>1</v>
      </c>
      <c r="J235" t="s">
        <v>111</v>
      </c>
    </row>
    <row r="236" spans="1:10" x14ac:dyDescent="0.3">
      <c r="A236" s="1">
        <v>41027</v>
      </c>
      <c r="B236" t="s">
        <v>0</v>
      </c>
      <c r="C236" t="s">
        <v>455</v>
      </c>
      <c r="D236" t="s">
        <v>1</v>
      </c>
      <c r="E236" t="s">
        <v>46</v>
      </c>
      <c r="F236" t="s">
        <v>378</v>
      </c>
      <c r="G236" t="s">
        <v>38</v>
      </c>
      <c r="H236" t="s">
        <v>224</v>
      </c>
      <c r="I236">
        <v>1</v>
      </c>
      <c r="J236" t="s">
        <v>101</v>
      </c>
    </row>
    <row r="237" spans="1:10" x14ac:dyDescent="0.3">
      <c r="A237" s="1">
        <v>41028</v>
      </c>
      <c r="B237" t="s">
        <v>0</v>
      </c>
      <c r="C237" t="s">
        <v>455</v>
      </c>
      <c r="D237" t="s">
        <v>1</v>
      </c>
      <c r="E237" t="s">
        <v>47</v>
      </c>
      <c r="F237" t="s">
        <v>378</v>
      </c>
      <c r="G237" t="s">
        <v>38</v>
      </c>
      <c r="H237" t="s">
        <v>51</v>
      </c>
      <c r="I237">
        <v>2</v>
      </c>
      <c r="J237" t="s">
        <v>457</v>
      </c>
    </row>
    <row r="238" spans="1:10" x14ac:dyDescent="0.3">
      <c r="A238" s="1">
        <v>41032</v>
      </c>
      <c r="B238" t="s">
        <v>0</v>
      </c>
      <c r="C238" t="s">
        <v>458</v>
      </c>
      <c r="D238" t="s">
        <v>219</v>
      </c>
      <c r="E238" t="s">
        <v>17</v>
      </c>
      <c r="F238" t="s">
        <v>459</v>
      </c>
      <c r="G238" t="s">
        <v>38</v>
      </c>
      <c r="H238" t="s">
        <v>236</v>
      </c>
      <c r="I238">
        <v>1</v>
      </c>
      <c r="J238" t="s">
        <v>323</v>
      </c>
    </row>
    <row r="239" spans="1:10" x14ac:dyDescent="0.3">
      <c r="A239" s="1">
        <v>41032</v>
      </c>
      <c r="B239" t="s">
        <v>0</v>
      </c>
      <c r="C239" t="s">
        <v>458</v>
      </c>
      <c r="D239" t="s">
        <v>219</v>
      </c>
      <c r="E239" t="s">
        <v>40</v>
      </c>
      <c r="F239" t="s">
        <v>459</v>
      </c>
      <c r="G239" t="s">
        <v>38</v>
      </c>
      <c r="H239" t="s">
        <v>316</v>
      </c>
      <c r="I239">
        <v>1</v>
      </c>
      <c r="J239" t="s">
        <v>172</v>
      </c>
    </row>
    <row r="240" spans="1:10" x14ac:dyDescent="0.3">
      <c r="A240" s="1">
        <v>41033</v>
      </c>
      <c r="B240" t="s">
        <v>0</v>
      </c>
      <c r="C240" t="s">
        <v>458</v>
      </c>
      <c r="D240" t="s">
        <v>219</v>
      </c>
      <c r="E240" t="s">
        <v>42</v>
      </c>
      <c r="F240" t="s">
        <v>459</v>
      </c>
      <c r="G240" t="s">
        <v>38</v>
      </c>
      <c r="H240" t="s">
        <v>6</v>
      </c>
      <c r="I240">
        <v>1</v>
      </c>
      <c r="J240" t="s">
        <v>460</v>
      </c>
    </row>
    <row r="241" spans="1:10" x14ac:dyDescent="0.3">
      <c r="A241" s="1">
        <v>41034</v>
      </c>
      <c r="B241" t="s">
        <v>0</v>
      </c>
      <c r="C241" t="s">
        <v>458</v>
      </c>
      <c r="D241" t="s">
        <v>219</v>
      </c>
      <c r="E241" t="s">
        <v>46</v>
      </c>
      <c r="F241" t="s">
        <v>459</v>
      </c>
      <c r="G241" t="s">
        <v>38</v>
      </c>
      <c r="H241" t="s">
        <v>65</v>
      </c>
      <c r="I241">
        <v>1</v>
      </c>
      <c r="J241" t="s">
        <v>200</v>
      </c>
    </row>
    <row r="242" spans="1:10" x14ac:dyDescent="0.3">
      <c r="A242" s="1">
        <v>41035</v>
      </c>
      <c r="B242" t="s">
        <v>0</v>
      </c>
      <c r="C242" t="s">
        <v>458</v>
      </c>
      <c r="D242" t="s">
        <v>219</v>
      </c>
      <c r="E242" t="s">
        <v>47</v>
      </c>
      <c r="F242" t="s">
        <v>459</v>
      </c>
      <c r="G242" t="s">
        <v>38</v>
      </c>
      <c r="H242" t="s">
        <v>3</v>
      </c>
      <c r="I242">
        <v>1</v>
      </c>
      <c r="J242" t="s">
        <v>461</v>
      </c>
    </row>
    <row r="243" spans="1:10" x14ac:dyDescent="0.3">
      <c r="A243" s="1">
        <v>41171</v>
      </c>
      <c r="B243" t="s">
        <v>0</v>
      </c>
      <c r="C243" t="s">
        <v>465</v>
      </c>
      <c r="D243" t="s">
        <v>1</v>
      </c>
      <c r="E243" t="s">
        <v>17</v>
      </c>
      <c r="F243" t="s">
        <v>348</v>
      </c>
      <c r="G243" t="s">
        <v>38</v>
      </c>
      <c r="H243" t="s">
        <v>63</v>
      </c>
      <c r="I243">
        <v>1</v>
      </c>
      <c r="J243" t="s">
        <v>190</v>
      </c>
    </row>
    <row r="244" spans="1:10" x14ac:dyDescent="0.3">
      <c r="A244" s="1">
        <v>41172</v>
      </c>
      <c r="B244" t="s">
        <v>0</v>
      </c>
      <c r="C244" t="s">
        <v>465</v>
      </c>
      <c r="D244" t="s">
        <v>1</v>
      </c>
      <c r="E244" t="s">
        <v>40</v>
      </c>
      <c r="F244" t="s">
        <v>348</v>
      </c>
      <c r="G244" t="s">
        <v>38</v>
      </c>
      <c r="H244" t="s">
        <v>398</v>
      </c>
      <c r="I244">
        <v>1</v>
      </c>
      <c r="J244" t="s">
        <v>89</v>
      </c>
    </row>
    <row r="245" spans="1:10" x14ac:dyDescent="0.3">
      <c r="A245" s="1">
        <v>41173</v>
      </c>
      <c r="B245" t="s">
        <v>0</v>
      </c>
      <c r="C245" t="s">
        <v>465</v>
      </c>
      <c r="D245" t="s">
        <v>1</v>
      </c>
      <c r="E245" t="s">
        <v>42</v>
      </c>
      <c r="F245" t="s">
        <v>348</v>
      </c>
      <c r="G245" t="s">
        <v>38</v>
      </c>
      <c r="H245" t="s">
        <v>6</v>
      </c>
      <c r="I245">
        <v>1</v>
      </c>
      <c r="J245" t="s">
        <v>139</v>
      </c>
    </row>
    <row r="246" spans="1:10" x14ac:dyDescent="0.3">
      <c r="A246" s="1">
        <v>41174</v>
      </c>
      <c r="B246" t="s">
        <v>0</v>
      </c>
      <c r="C246" t="s">
        <v>465</v>
      </c>
      <c r="D246" t="s">
        <v>1</v>
      </c>
      <c r="E246" t="s">
        <v>46</v>
      </c>
      <c r="F246" t="s">
        <v>348</v>
      </c>
      <c r="G246" t="s">
        <v>38</v>
      </c>
      <c r="H246" t="s">
        <v>68</v>
      </c>
      <c r="I246">
        <v>1</v>
      </c>
      <c r="J246" t="s">
        <v>275</v>
      </c>
    </row>
    <row r="247" spans="1:10" x14ac:dyDescent="0.3">
      <c r="A247" s="1">
        <v>41175</v>
      </c>
      <c r="B247" t="s">
        <v>0</v>
      </c>
      <c r="C247" t="s">
        <v>465</v>
      </c>
      <c r="D247" t="s">
        <v>1</v>
      </c>
      <c r="E247" t="s">
        <v>47</v>
      </c>
      <c r="F247" t="s">
        <v>348</v>
      </c>
      <c r="G247" t="s">
        <v>38</v>
      </c>
      <c r="H247" t="s">
        <v>23</v>
      </c>
      <c r="I247">
        <v>1</v>
      </c>
      <c r="J247" t="s">
        <v>200</v>
      </c>
    </row>
    <row r="248" spans="1:10" x14ac:dyDescent="0.3">
      <c r="A248" s="1">
        <v>41199</v>
      </c>
      <c r="B248" t="s">
        <v>0</v>
      </c>
      <c r="C248" t="s">
        <v>468</v>
      </c>
      <c r="D248" t="s">
        <v>286</v>
      </c>
      <c r="E248" t="s">
        <v>17</v>
      </c>
      <c r="F248" t="s">
        <v>402</v>
      </c>
      <c r="G248" t="s">
        <v>38</v>
      </c>
      <c r="H248" t="s">
        <v>398</v>
      </c>
      <c r="I248">
        <v>1</v>
      </c>
      <c r="J248" t="s">
        <v>109</v>
      </c>
    </row>
    <row r="249" spans="1:10" x14ac:dyDescent="0.3">
      <c r="A249" s="1">
        <v>41200</v>
      </c>
      <c r="B249" t="s">
        <v>0</v>
      </c>
      <c r="C249" t="s">
        <v>468</v>
      </c>
      <c r="D249" t="s">
        <v>286</v>
      </c>
      <c r="E249" t="s">
        <v>40</v>
      </c>
      <c r="F249" t="s">
        <v>402</v>
      </c>
      <c r="G249" t="s">
        <v>38</v>
      </c>
      <c r="H249" t="s">
        <v>23</v>
      </c>
      <c r="I249">
        <v>1</v>
      </c>
      <c r="J249" t="s">
        <v>129</v>
      </c>
    </row>
    <row r="250" spans="1:10" x14ac:dyDescent="0.3">
      <c r="A250" s="1">
        <v>41201</v>
      </c>
      <c r="B250" t="s">
        <v>0</v>
      </c>
      <c r="C250" t="s">
        <v>468</v>
      </c>
      <c r="D250" t="s">
        <v>286</v>
      </c>
      <c r="E250" t="s">
        <v>42</v>
      </c>
      <c r="F250" t="s">
        <v>402</v>
      </c>
      <c r="G250" t="s">
        <v>38</v>
      </c>
      <c r="H250" t="s">
        <v>8</v>
      </c>
      <c r="I250">
        <v>1</v>
      </c>
      <c r="J250" t="s">
        <v>269</v>
      </c>
    </row>
    <row r="251" spans="1:10" x14ac:dyDescent="0.3">
      <c r="A251" s="1">
        <v>41202</v>
      </c>
      <c r="B251" t="s">
        <v>0</v>
      </c>
      <c r="C251" t="s">
        <v>468</v>
      </c>
      <c r="D251" t="s">
        <v>286</v>
      </c>
      <c r="E251" t="s">
        <v>46</v>
      </c>
      <c r="F251" t="s">
        <v>402</v>
      </c>
      <c r="G251" t="s">
        <v>38</v>
      </c>
      <c r="H251" t="s">
        <v>149</v>
      </c>
      <c r="I251">
        <v>1</v>
      </c>
      <c r="J251" t="s">
        <v>305</v>
      </c>
    </row>
    <row r="252" spans="1:10" x14ac:dyDescent="0.3">
      <c r="A252" s="1">
        <v>41203</v>
      </c>
      <c r="B252" t="s">
        <v>0</v>
      </c>
      <c r="C252" t="s">
        <v>468</v>
      </c>
      <c r="D252" t="s">
        <v>286</v>
      </c>
      <c r="E252" t="s">
        <v>47</v>
      </c>
      <c r="F252" t="s">
        <v>402</v>
      </c>
      <c r="G252" t="s">
        <v>38</v>
      </c>
      <c r="H252" t="s">
        <v>120</v>
      </c>
      <c r="I252">
        <v>1</v>
      </c>
      <c r="J252" t="s">
        <v>452</v>
      </c>
    </row>
    <row r="253" spans="1:10" x14ac:dyDescent="0.3">
      <c r="A253" s="1">
        <v>41234</v>
      </c>
      <c r="B253" t="s">
        <v>0</v>
      </c>
      <c r="C253" t="s">
        <v>469</v>
      </c>
      <c r="D253" t="s">
        <v>1</v>
      </c>
      <c r="E253" t="s">
        <v>17</v>
      </c>
      <c r="F253" t="s">
        <v>470</v>
      </c>
      <c r="G253" t="s">
        <v>38</v>
      </c>
      <c r="H253" t="s">
        <v>23</v>
      </c>
      <c r="I253">
        <v>1</v>
      </c>
      <c r="J253" t="s">
        <v>139</v>
      </c>
    </row>
    <row r="254" spans="1:10" x14ac:dyDescent="0.3">
      <c r="A254" s="1">
        <v>41235</v>
      </c>
      <c r="B254" t="s">
        <v>0</v>
      </c>
      <c r="C254" t="s">
        <v>469</v>
      </c>
      <c r="D254" t="s">
        <v>1</v>
      </c>
      <c r="E254" t="s">
        <v>40</v>
      </c>
      <c r="F254" t="s">
        <v>470</v>
      </c>
      <c r="G254" t="s">
        <v>38</v>
      </c>
      <c r="H254" t="s">
        <v>79</v>
      </c>
      <c r="I254">
        <v>1</v>
      </c>
      <c r="J254" t="s">
        <v>206</v>
      </c>
    </row>
    <row r="255" spans="1:10" x14ac:dyDescent="0.3">
      <c r="A255" s="1">
        <v>41236</v>
      </c>
      <c r="B255" t="s">
        <v>0</v>
      </c>
      <c r="C255" t="s">
        <v>469</v>
      </c>
      <c r="D255" t="s">
        <v>1</v>
      </c>
      <c r="E255" t="s">
        <v>42</v>
      </c>
      <c r="F255" t="s">
        <v>470</v>
      </c>
      <c r="G255" t="s">
        <v>38</v>
      </c>
      <c r="H255" t="s">
        <v>9</v>
      </c>
      <c r="I255">
        <v>1</v>
      </c>
      <c r="J255" t="s">
        <v>206</v>
      </c>
    </row>
    <row r="256" spans="1:10" x14ac:dyDescent="0.3">
      <c r="A256" s="1">
        <v>41237</v>
      </c>
      <c r="B256" t="s">
        <v>0</v>
      </c>
      <c r="C256" t="s">
        <v>469</v>
      </c>
      <c r="D256" t="s">
        <v>1</v>
      </c>
      <c r="E256" t="s">
        <v>46</v>
      </c>
      <c r="F256" t="s">
        <v>470</v>
      </c>
      <c r="G256" t="s">
        <v>38</v>
      </c>
      <c r="H256" t="s">
        <v>135</v>
      </c>
      <c r="I256">
        <v>1</v>
      </c>
      <c r="J256" t="s">
        <v>95</v>
      </c>
    </row>
    <row r="257" spans="1:10" x14ac:dyDescent="0.3">
      <c r="A257" s="1">
        <v>41238</v>
      </c>
      <c r="B257" t="s">
        <v>0</v>
      </c>
      <c r="C257" t="s">
        <v>469</v>
      </c>
      <c r="D257" t="s">
        <v>1</v>
      </c>
      <c r="E257" t="s">
        <v>47</v>
      </c>
      <c r="F257" t="s">
        <v>470</v>
      </c>
      <c r="G257" t="s">
        <v>38</v>
      </c>
      <c r="H257" t="s">
        <v>253</v>
      </c>
      <c r="I257">
        <v>2</v>
      </c>
      <c r="J257" t="s">
        <v>37</v>
      </c>
    </row>
    <row r="258" spans="1:10" x14ac:dyDescent="0.3">
      <c r="A258" s="1">
        <v>41255</v>
      </c>
      <c r="B258" t="s">
        <v>0</v>
      </c>
      <c r="C258" t="s">
        <v>471</v>
      </c>
      <c r="D258" t="s">
        <v>286</v>
      </c>
      <c r="E258" t="s">
        <v>287</v>
      </c>
      <c r="F258" t="s">
        <v>472</v>
      </c>
      <c r="G258" t="s">
        <v>38</v>
      </c>
      <c r="H258" t="s">
        <v>120</v>
      </c>
      <c r="I258">
        <v>2</v>
      </c>
      <c r="J258" t="s">
        <v>473</v>
      </c>
    </row>
    <row r="259" spans="1:10" x14ac:dyDescent="0.3">
      <c r="A259" s="1">
        <v>41283</v>
      </c>
      <c r="B259" t="s">
        <v>0</v>
      </c>
      <c r="C259" t="s">
        <v>474</v>
      </c>
      <c r="D259" t="s">
        <v>286</v>
      </c>
      <c r="E259" t="s">
        <v>17</v>
      </c>
      <c r="F259" t="s">
        <v>365</v>
      </c>
      <c r="G259" t="s">
        <v>38</v>
      </c>
      <c r="H259" t="s">
        <v>338</v>
      </c>
      <c r="I259">
        <v>1</v>
      </c>
      <c r="J259" t="s">
        <v>403</v>
      </c>
    </row>
    <row r="260" spans="1:10" x14ac:dyDescent="0.3">
      <c r="A260" s="1">
        <v>41284</v>
      </c>
      <c r="B260" t="s">
        <v>0</v>
      </c>
      <c r="C260" t="s">
        <v>474</v>
      </c>
      <c r="D260" t="s">
        <v>286</v>
      </c>
      <c r="E260" t="s">
        <v>40</v>
      </c>
      <c r="F260" t="s">
        <v>365</v>
      </c>
      <c r="G260" t="s">
        <v>38</v>
      </c>
      <c r="H260" t="s">
        <v>158</v>
      </c>
      <c r="I260">
        <v>1</v>
      </c>
      <c r="J260" t="s">
        <v>99</v>
      </c>
    </row>
    <row r="261" spans="1:10" x14ac:dyDescent="0.3">
      <c r="A261" s="1">
        <v>41285</v>
      </c>
      <c r="B261" t="s">
        <v>0</v>
      </c>
      <c r="C261" t="s">
        <v>474</v>
      </c>
      <c r="D261" t="s">
        <v>286</v>
      </c>
      <c r="E261" t="s">
        <v>42</v>
      </c>
      <c r="F261" t="s">
        <v>365</v>
      </c>
      <c r="G261" t="s">
        <v>38</v>
      </c>
      <c r="H261" t="s">
        <v>220</v>
      </c>
      <c r="I261">
        <v>1</v>
      </c>
      <c r="J261" t="s">
        <v>177</v>
      </c>
    </row>
    <row r="262" spans="1:10" x14ac:dyDescent="0.3">
      <c r="A262" s="1">
        <v>41286</v>
      </c>
      <c r="B262" t="s">
        <v>0</v>
      </c>
      <c r="C262" t="s">
        <v>474</v>
      </c>
      <c r="D262" t="s">
        <v>286</v>
      </c>
      <c r="E262" t="s">
        <v>46</v>
      </c>
      <c r="F262" t="s">
        <v>365</v>
      </c>
      <c r="G262" t="s">
        <v>38</v>
      </c>
      <c r="H262" t="s">
        <v>169</v>
      </c>
      <c r="I262">
        <v>1</v>
      </c>
      <c r="J262" t="s">
        <v>209</v>
      </c>
    </row>
    <row r="263" spans="1:10" x14ac:dyDescent="0.3">
      <c r="A263" s="1">
        <v>41287</v>
      </c>
      <c r="B263" t="s">
        <v>0</v>
      </c>
      <c r="C263" t="s">
        <v>474</v>
      </c>
      <c r="D263" t="s">
        <v>286</v>
      </c>
      <c r="E263" t="s">
        <v>47</v>
      </c>
      <c r="F263" t="s">
        <v>365</v>
      </c>
      <c r="G263" t="s">
        <v>38</v>
      </c>
      <c r="H263" t="s">
        <v>120</v>
      </c>
      <c r="I263">
        <v>1</v>
      </c>
      <c r="J263" t="s">
        <v>273</v>
      </c>
    </row>
    <row r="264" spans="1:10" x14ac:dyDescent="0.3">
      <c r="A264" s="1">
        <v>41290</v>
      </c>
      <c r="B264" t="s">
        <v>0</v>
      </c>
      <c r="C264" t="s">
        <v>475</v>
      </c>
      <c r="D264" t="s">
        <v>1</v>
      </c>
      <c r="E264" t="s">
        <v>17</v>
      </c>
      <c r="F264" t="s">
        <v>412</v>
      </c>
      <c r="G264" t="s">
        <v>38</v>
      </c>
      <c r="H264" t="s">
        <v>398</v>
      </c>
      <c r="I264">
        <v>1</v>
      </c>
      <c r="J264" t="s">
        <v>123</v>
      </c>
    </row>
    <row r="265" spans="1:10" x14ac:dyDescent="0.3">
      <c r="A265" s="1">
        <v>41292</v>
      </c>
      <c r="B265" t="s">
        <v>0</v>
      </c>
      <c r="C265" t="s">
        <v>475</v>
      </c>
      <c r="D265" t="s">
        <v>1</v>
      </c>
      <c r="E265" t="s">
        <v>42</v>
      </c>
      <c r="F265" t="s">
        <v>412</v>
      </c>
      <c r="G265" t="s">
        <v>38</v>
      </c>
      <c r="H265" t="s">
        <v>220</v>
      </c>
      <c r="I265">
        <v>1</v>
      </c>
      <c r="J265" t="s">
        <v>421</v>
      </c>
    </row>
    <row r="266" spans="1:10" x14ac:dyDescent="0.3">
      <c r="A266" s="1">
        <v>41293</v>
      </c>
      <c r="B266" t="s">
        <v>0</v>
      </c>
      <c r="C266" t="s">
        <v>475</v>
      </c>
      <c r="D266" t="s">
        <v>1</v>
      </c>
      <c r="E266" t="s">
        <v>46</v>
      </c>
      <c r="F266" t="s">
        <v>412</v>
      </c>
      <c r="G266" t="s">
        <v>38</v>
      </c>
      <c r="H266" t="s">
        <v>149</v>
      </c>
      <c r="I266">
        <v>1</v>
      </c>
      <c r="J266" t="s">
        <v>476</v>
      </c>
    </row>
    <row r="267" spans="1:10" x14ac:dyDescent="0.3">
      <c r="A267" s="1">
        <v>41294</v>
      </c>
      <c r="B267" t="s">
        <v>0</v>
      </c>
      <c r="C267" t="s">
        <v>475</v>
      </c>
      <c r="D267" t="s">
        <v>1</v>
      </c>
      <c r="E267" t="s">
        <v>47</v>
      </c>
      <c r="F267" t="s">
        <v>412</v>
      </c>
      <c r="G267" t="s">
        <v>38</v>
      </c>
      <c r="H267" t="s">
        <v>3</v>
      </c>
      <c r="I267">
        <v>1</v>
      </c>
      <c r="J267" t="s">
        <v>294</v>
      </c>
    </row>
    <row r="268" spans="1:10" x14ac:dyDescent="0.3">
      <c r="A268" s="1">
        <v>41339</v>
      </c>
      <c r="B268" t="s">
        <v>0</v>
      </c>
      <c r="C268" t="s">
        <v>477</v>
      </c>
      <c r="D268" t="s">
        <v>286</v>
      </c>
      <c r="E268" t="s">
        <v>17</v>
      </c>
      <c r="F268" t="s">
        <v>374</v>
      </c>
      <c r="G268" t="s">
        <v>38</v>
      </c>
      <c r="H268" t="s">
        <v>169</v>
      </c>
      <c r="I268">
        <v>1</v>
      </c>
      <c r="J268" t="s">
        <v>478</v>
      </c>
    </row>
    <row r="269" spans="1:10" x14ac:dyDescent="0.3">
      <c r="A269" s="1">
        <v>41340</v>
      </c>
      <c r="B269" t="s">
        <v>0</v>
      </c>
      <c r="C269" t="s">
        <v>477</v>
      </c>
      <c r="D269" t="s">
        <v>286</v>
      </c>
      <c r="E269" t="s">
        <v>40</v>
      </c>
      <c r="F269" t="s">
        <v>374</v>
      </c>
      <c r="G269" t="s">
        <v>38</v>
      </c>
      <c r="H269" t="s">
        <v>338</v>
      </c>
      <c r="I269">
        <v>1</v>
      </c>
      <c r="J269" t="s">
        <v>143</v>
      </c>
    </row>
    <row r="270" spans="1:10" x14ac:dyDescent="0.3">
      <c r="A270" s="1">
        <v>41341</v>
      </c>
      <c r="B270" t="s">
        <v>0</v>
      </c>
      <c r="C270" t="s">
        <v>477</v>
      </c>
      <c r="D270" t="s">
        <v>286</v>
      </c>
      <c r="E270" t="s">
        <v>42</v>
      </c>
      <c r="F270" t="s">
        <v>374</v>
      </c>
      <c r="G270" t="s">
        <v>38</v>
      </c>
      <c r="H270" t="s">
        <v>9</v>
      </c>
      <c r="I270">
        <v>1</v>
      </c>
      <c r="J270" t="s">
        <v>143</v>
      </c>
    </row>
    <row r="271" spans="1:10" x14ac:dyDescent="0.3">
      <c r="A271" s="1">
        <v>41342</v>
      </c>
      <c r="B271" t="s">
        <v>0</v>
      </c>
      <c r="C271" t="s">
        <v>477</v>
      </c>
      <c r="D271" t="s">
        <v>286</v>
      </c>
      <c r="E271" t="s">
        <v>46</v>
      </c>
      <c r="F271" t="s">
        <v>374</v>
      </c>
      <c r="G271" t="s">
        <v>38</v>
      </c>
      <c r="H271" t="s">
        <v>227</v>
      </c>
      <c r="I271">
        <v>1</v>
      </c>
      <c r="J271" t="s">
        <v>138</v>
      </c>
    </row>
    <row r="272" spans="1:10" x14ac:dyDescent="0.3">
      <c r="A272" s="1">
        <v>41343</v>
      </c>
      <c r="B272" t="s">
        <v>0</v>
      </c>
      <c r="C272" t="s">
        <v>477</v>
      </c>
      <c r="D272" t="s">
        <v>286</v>
      </c>
      <c r="E272" t="s">
        <v>47</v>
      </c>
      <c r="F272" t="s">
        <v>374</v>
      </c>
      <c r="G272" t="s">
        <v>38</v>
      </c>
      <c r="H272" t="s">
        <v>253</v>
      </c>
      <c r="I272">
        <v>2</v>
      </c>
      <c r="J272" t="s">
        <v>74</v>
      </c>
    </row>
    <row r="273" spans="1:10" x14ac:dyDescent="0.3">
      <c r="A273" s="1">
        <v>41366</v>
      </c>
      <c r="B273" t="s">
        <v>0</v>
      </c>
      <c r="C273" t="s">
        <v>479</v>
      </c>
      <c r="D273" t="s">
        <v>1</v>
      </c>
      <c r="E273" t="s">
        <v>222</v>
      </c>
      <c r="F273" t="s">
        <v>480</v>
      </c>
      <c r="G273" t="s">
        <v>38</v>
      </c>
      <c r="H273" t="s">
        <v>185</v>
      </c>
      <c r="I273">
        <v>1</v>
      </c>
      <c r="J273" t="s">
        <v>156</v>
      </c>
    </row>
    <row r="274" spans="1:10" x14ac:dyDescent="0.3">
      <c r="A274" s="1">
        <v>41367</v>
      </c>
      <c r="B274" t="s">
        <v>0</v>
      </c>
      <c r="C274" t="s">
        <v>479</v>
      </c>
      <c r="D274" t="s">
        <v>1</v>
      </c>
      <c r="E274" t="s">
        <v>17</v>
      </c>
      <c r="F274" t="s">
        <v>480</v>
      </c>
      <c r="G274" t="s">
        <v>38</v>
      </c>
      <c r="H274" t="s">
        <v>391</v>
      </c>
      <c r="I274">
        <v>1</v>
      </c>
      <c r="J274" t="s">
        <v>263</v>
      </c>
    </row>
    <row r="275" spans="1:10" x14ac:dyDescent="0.3">
      <c r="A275" s="1">
        <v>41368</v>
      </c>
      <c r="B275" t="s">
        <v>0</v>
      </c>
      <c r="C275" t="s">
        <v>479</v>
      </c>
      <c r="D275" t="s">
        <v>1</v>
      </c>
      <c r="E275" t="s">
        <v>40</v>
      </c>
      <c r="F275" t="s">
        <v>480</v>
      </c>
      <c r="G275" t="s">
        <v>38</v>
      </c>
      <c r="H275" t="s">
        <v>221</v>
      </c>
      <c r="I275">
        <v>1</v>
      </c>
      <c r="J275" t="s">
        <v>481</v>
      </c>
    </row>
    <row r="276" spans="1:10" x14ac:dyDescent="0.3">
      <c r="A276" s="1">
        <v>41369</v>
      </c>
      <c r="B276" t="s">
        <v>0</v>
      </c>
      <c r="C276" t="s">
        <v>479</v>
      </c>
      <c r="D276" t="s">
        <v>1</v>
      </c>
      <c r="E276" t="s">
        <v>42</v>
      </c>
      <c r="F276" t="s">
        <v>480</v>
      </c>
      <c r="G276" t="s">
        <v>38</v>
      </c>
      <c r="H276" t="s">
        <v>345</v>
      </c>
      <c r="I276">
        <v>1</v>
      </c>
      <c r="J276" t="s">
        <v>235</v>
      </c>
    </row>
    <row r="277" spans="1:10" x14ac:dyDescent="0.3">
      <c r="A277" s="1">
        <v>41370</v>
      </c>
      <c r="B277" t="s">
        <v>0</v>
      </c>
      <c r="C277" t="s">
        <v>479</v>
      </c>
      <c r="D277" t="s">
        <v>1</v>
      </c>
      <c r="E277" t="s">
        <v>46</v>
      </c>
      <c r="F277" t="s">
        <v>480</v>
      </c>
      <c r="G277" t="s">
        <v>38</v>
      </c>
      <c r="H277" t="s">
        <v>343</v>
      </c>
      <c r="I277">
        <v>2</v>
      </c>
      <c r="J277" t="s">
        <v>462</v>
      </c>
    </row>
    <row r="278" spans="1:10" x14ac:dyDescent="0.3">
      <c r="A278" s="1">
        <v>41388</v>
      </c>
      <c r="B278" t="s">
        <v>0</v>
      </c>
      <c r="C278" t="s">
        <v>482</v>
      </c>
      <c r="D278" t="s">
        <v>1</v>
      </c>
      <c r="E278" t="s">
        <v>17</v>
      </c>
      <c r="F278" t="s">
        <v>378</v>
      </c>
      <c r="G278" t="s">
        <v>38</v>
      </c>
      <c r="H278" t="s">
        <v>69</v>
      </c>
      <c r="I278">
        <v>1</v>
      </c>
      <c r="J278" t="s">
        <v>434</v>
      </c>
    </row>
    <row r="279" spans="1:10" x14ac:dyDescent="0.3">
      <c r="A279" s="1">
        <v>41389</v>
      </c>
      <c r="B279" t="s">
        <v>0</v>
      </c>
      <c r="C279" t="s">
        <v>482</v>
      </c>
      <c r="D279" t="s">
        <v>1</v>
      </c>
      <c r="E279" t="s">
        <v>40</v>
      </c>
      <c r="F279" t="s">
        <v>378</v>
      </c>
      <c r="G279" t="s">
        <v>38</v>
      </c>
      <c r="H279" t="s">
        <v>422</v>
      </c>
      <c r="I279">
        <v>1</v>
      </c>
      <c r="J279" t="s">
        <v>256</v>
      </c>
    </row>
    <row r="280" spans="1:10" x14ac:dyDescent="0.3">
      <c r="A280" s="1">
        <v>41390</v>
      </c>
      <c r="B280" t="s">
        <v>0</v>
      </c>
      <c r="C280" t="s">
        <v>482</v>
      </c>
      <c r="D280" t="s">
        <v>1</v>
      </c>
      <c r="E280" t="s">
        <v>42</v>
      </c>
      <c r="F280" t="s">
        <v>378</v>
      </c>
      <c r="G280" t="s">
        <v>38</v>
      </c>
      <c r="H280" t="s">
        <v>363</v>
      </c>
      <c r="I280">
        <v>1</v>
      </c>
      <c r="J280" t="s">
        <v>59</v>
      </c>
    </row>
    <row r="281" spans="1:10" x14ac:dyDescent="0.3">
      <c r="A281" s="1">
        <v>41391</v>
      </c>
      <c r="B281" t="s">
        <v>0</v>
      </c>
      <c r="C281" t="s">
        <v>482</v>
      </c>
      <c r="D281" t="s">
        <v>1</v>
      </c>
      <c r="E281" t="s">
        <v>46</v>
      </c>
      <c r="F281" t="s">
        <v>378</v>
      </c>
      <c r="G281" t="s">
        <v>38</v>
      </c>
      <c r="H281" t="s">
        <v>23</v>
      </c>
      <c r="I281">
        <v>1</v>
      </c>
      <c r="J281" t="s">
        <v>483</v>
      </c>
    </row>
    <row r="282" spans="1:10" x14ac:dyDescent="0.3">
      <c r="A282" s="1">
        <v>41392</v>
      </c>
      <c r="B282" t="s">
        <v>0</v>
      </c>
      <c r="C282" t="s">
        <v>482</v>
      </c>
      <c r="D282" t="s">
        <v>1</v>
      </c>
      <c r="E282" t="s">
        <v>47</v>
      </c>
      <c r="F282" t="s">
        <v>378</v>
      </c>
      <c r="G282" t="s">
        <v>38</v>
      </c>
      <c r="H282" t="s">
        <v>135</v>
      </c>
      <c r="I282">
        <v>1</v>
      </c>
      <c r="J282" t="s">
        <v>351</v>
      </c>
    </row>
    <row r="283" spans="1:10" x14ac:dyDescent="0.3">
      <c r="A283" s="1">
        <v>41437</v>
      </c>
      <c r="B283" t="s">
        <v>0</v>
      </c>
      <c r="C283" t="s">
        <v>486</v>
      </c>
      <c r="D283" t="s">
        <v>286</v>
      </c>
      <c r="E283" t="s">
        <v>17</v>
      </c>
      <c r="F283" t="s">
        <v>487</v>
      </c>
      <c r="G283" t="s">
        <v>38</v>
      </c>
      <c r="H283" t="s">
        <v>338</v>
      </c>
      <c r="I283">
        <v>1</v>
      </c>
      <c r="J283" t="s">
        <v>488</v>
      </c>
    </row>
    <row r="284" spans="1:10" x14ac:dyDescent="0.3">
      <c r="A284" s="1">
        <v>41438</v>
      </c>
      <c r="B284" t="s">
        <v>0</v>
      </c>
      <c r="C284" t="s">
        <v>486</v>
      </c>
      <c r="D284" t="s">
        <v>286</v>
      </c>
      <c r="E284" t="s">
        <v>40</v>
      </c>
      <c r="F284" t="s">
        <v>487</v>
      </c>
      <c r="G284" t="s">
        <v>38</v>
      </c>
      <c r="H284" t="s">
        <v>316</v>
      </c>
      <c r="I284">
        <v>1</v>
      </c>
      <c r="J284" t="s">
        <v>240</v>
      </c>
    </row>
    <row r="285" spans="1:10" x14ac:dyDescent="0.3">
      <c r="A285" s="1">
        <v>41439</v>
      </c>
      <c r="B285" t="s">
        <v>0</v>
      </c>
      <c r="C285" t="s">
        <v>486</v>
      </c>
      <c r="D285" t="s">
        <v>286</v>
      </c>
      <c r="E285" t="s">
        <v>42</v>
      </c>
      <c r="F285" t="s">
        <v>487</v>
      </c>
      <c r="G285" t="s">
        <v>38</v>
      </c>
      <c r="H285" t="s">
        <v>23</v>
      </c>
      <c r="I285">
        <v>1</v>
      </c>
      <c r="J285" t="s">
        <v>334</v>
      </c>
    </row>
    <row r="286" spans="1:10" x14ac:dyDescent="0.3">
      <c r="A286" s="1">
        <v>41440</v>
      </c>
      <c r="B286" t="s">
        <v>0</v>
      </c>
      <c r="C286" t="s">
        <v>486</v>
      </c>
      <c r="D286" t="s">
        <v>286</v>
      </c>
      <c r="E286" t="s">
        <v>46</v>
      </c>
      <c r="F286" t="s">
        <v>487</v>
      </c>
      <c r="G286" t="s">
        <v>38</v>
      </c>
      <c r="H286" t="s">
        <v>110</v>
      </c>
      <c r="I286">
        <v>1</v>
      </c>
      <c r="J286" t="s">
        <v>105</v>
      </c>
    </row>
    <row r="287" spans="1:10" x14ac:dyDescent="0.3">
      <c r="A287" s="1">
        <v>41441</v>
      </c>
      <c r="B287" t="s">
        <v>0</v>
      </c>
      <c r="C287" t="s">
        <v>486</v>
      </c>
      <c r="D287" t="s">
        <v>286</v>
      </c>
      <c r="E287" t="s">
        <v>47</v>
      </c>
      <c r="F287" t="s">
        <v>487</v>
      </c>
      <c r="G287" t="s">
        <v>38</v>
      </c>
      <c r="H287" t="s">
        <v>158</v>
      </c>
      <c r="I287">
        <v>1</v>
      </c>
      <c r="J287" t="s">
        <v>90</v>
      </c>
    </row>
    <row r="288" spans="1:10" x14ac:dyDescent="0.3">
      <c r="A288" s="1">
        <v>41535</v>
      </c>
      <c r="B288" t="s">
        <v>0</v>
      </c>
      <c r="C288" t="s">
        <v>489</v>
      </c>
      <c r="D288" t="s">
        <v>1</v>
      </c>
      <c r="E288" t="s">
        <v>17</v>
      </c>
      <c r="F288" t="s">
        <v>348</v>
      </c>
      <c r="G288" t="s">
        <v>38</v>
      </c>
      <c r="H288" t="s">
        <v>224</v>
      </c>
      <c r="I288">
        <v>1</v>
      </c>
      <c r="J288" t="s">
        <v>174</v>
      </c>
    </row>
    <row r="289" spans="1:10" x14ac:dyDescent="0.3">
      <c r="A289" s="1">
        <v>41536</v>
      </c>
      <c r="B289" t="s">
        <v>0</v>
      </c>
      <c r="C289" t="s">
        <v>489</v>
      </c>
      <c r="D289" t="s">
        <v>1</v>
      </c>
      <c r="E289" t="s">
        <v>40</v>
      </c>
      <c r="F289" t="s">
        <v>348</v>
      </c>
      <c r="G289" t="s">
        <v>38</v>
      </c>
      <c r="H289" t="s">
        <v>63</v>
      </c>
      <c r="I289">
        <v>1</v>
      </c>
      <c r="J289" t="s">
        <v>160</v>
      </c>
    </row>
    <row r="290" spans="1:10" x14ac:dyDescent="0.3">
      <c r="A290" s="1">
        <v>41537</v>
      </c>
      <c r="B290" t="s">
        <v>0</v>
      </c>
      <c r="C290" t="s">
        <v>489</v>
      </c>
      <c r="D290" t="s">
        <v>1</v>
      </c>
      <c r="E290" t="s">
        <v>42</v>
      </c>
      <c r="F290" t="s">
        <v>348</v>
      </c>
      <c r="G290" t="s">
        <v>38</v>
      </c>
      <c r="H290" t="s">
        <v>243</v>
      </c>
      <c r="I290">
        <v>1</v>
      </c>
      <c r="J290" t="s">
        <v>162</v>
      </c>
    </row>
    <row r="291" spans="1:10" x14ac:dyDescent="0.3">
      <c r="A291" s="1">
        <v>41538</v>
      </c>
      <c r="B291" t="s">
        <v>0</v>
      </c>
      <c r="C291" t="s">
        <v>489</v>
      </c>
      <c r="D291" t="s">
        <v>1</v>
      </c>
      <c r="E291" t="s">
        <v>46</v>
      </c>
      <c r="F291" t="s">
        <v>348</v>
      </c>
      <c r="G291" t="s">
        <v>38</v>
      </c>
      <c r="H291" t="s">
        <v>9</v>
      </c>
      <c r="I291">
        <v>1</v>
      </c>
      <c r="J291" t="s">
        <v>333</v>
      </c>
    </row>
    <row r="292" spans="1:10" x14ac:dyDescent="0.3">
      <c r="A292" s="1">
        <v>41539</v>
      </c>
      <c r="B292" t="s">
        <v>0</v>
      </c>
      <c r="C292" t="s">
        <v>489</v>
      </c>
      <c r="D292" t="s">
        <v>1</v>
      </c>
      <c r="E292" t="s">
        <v>47</v>
      </c>
      <c r="F292" t="s">
        <v>348</v>
      </c>
      <c r="G292" t="s">
        <v>38</v>
      </c>
      <c r="H292" t="s">
        <v>135</v>
      </c>
      <c r="I292">
        <v>1</v>
      </c>
      <c r="J292" t="s">
        <v>196</v>
      </c>
    </row>
    <row r="293" spans="1:10" x14ac:dyDescent="0.3">
      <c r="A293" s="1">
        <v>41563</v>
      </c>
      <c r="B293" t="s">
        <v>0</v>
      </c>
      <c r="C293" t="s">
        <v>492</v>
      </c>
      <c r="D293" t="s">
        <v>286</v>
      </c>
      <c r="E293" t="s">
        <v>17</v>
      </c>
      <c r="F293" t="s">
        <v>493</v>
      </c>
      <c r="G293" t="s">
        <v>38</v>
      </c>
      <c r="H293" t="s">
        <v>298</v>
      </c>
      <c r="I293">
        <v>1</v>
      </c>
      <c r="J293" t="s">
        <v>235</v>
      </c>
    </row>
    <row r="294" spans="1:10" x14ac:dyDescent="0.3">
      <c r="A294" s="1">
        <v>41564</v>
      </c>
      <c r="B294" t="s">
        <v>0</v>
      </c>
      <c r="C294" t="s">
        <v>492</v>
      </c>
      <c r="D294" t="s">
        <v>286</v>
      </c>
      <c r="E294" t="s">
        <v>40</v>
      </c>
      <c r="F294" t="s">
        <v>493</v>
      </c>
      <c r="G294" t="s">
        <v>38</v>
      </c>
      <c r="H294" t="s">
        <v>398</v>
      </c>
      <c r="I294">
        <v>1</v>
      </c>
      <c r="J294" t="s">
        <v>246</v>
      </c>
    </row>
    <row r="295" spans="1:10" x14ac:dyDescent="0.3">
      <c r="A295" s="1">
        <v>41565</v>
      </c>
      <c r="B295" t="s">
        <v>0</v>
      </c>
      <c r="C295" t="s">
        <v>492</v>
      </c>
      <c r="D295" t="s">
        <v>286</v>
      </c>
      <c r="E295" t="s">
        <v>42</v>
      </c>
      <c r="F295" t="s">
        <v>493</v>
      </c>
      <c r="G295" t="s">
        <v>38</v>
      </c>
      <c r="H295" t="s">
        <v>149</v>
      </c>
      <c r="I295">
        <v>1</v>
      </c>
      <c r="J295" t="s">
        <v>494</v>
      </c>
    </row>
    <row r="296" spans="1:10" x14ac:dyDescent="0.3">
      <c r="A296" s="1">
        <v>41566</v>
      </c>
      <c r="B296" t="s">
        <v>0</v>
      </c>
      <c r="C296" t="s">
        <v>492</v>
      </c>
      <c r="D296" t="s">
        <v>286</v>
      </c>
      <c r="E296" t="s">
        <v>46</v>
      </c>
      <c r="F296" t="s">
        <v>493</v>
      </c>
      <c r="G296" t="s">
        <v>38</v>
      </c>
      <c r="H296" t="s">
        <v>120</v>
      </c>
      <c r="I296">
        <v>1</v>
      </c>
      <c r="J296" t="s">
        <v>495</v>
      </c>
    </row>
    <row r="297" spans="1:10" x14ac:dyDescent="0.3">
      <c r="A297" s="1">
        <v>41567</v>
      </c>
      <c r="B297" t="s">
        <v>0</v>
      </c>
      <c r="C297" t="s">
        <v>492</v>
      </c>
      <c r="D297" t="s">
        <v>286</v>
      </c>
      <c r="E297" t="s">
        <v>47</v>
      </c>
      <c r="F297" t="s">
        <v>493</v>
      </c>
      <c r="G297" t="s">
        <v>38</v>
      </c>
      <c r="H297" t="s">
        <v>253</v>
      </c>
      <c r="I297">
        <v>2</v>
      </c>
      <c r="J297" t="s">
        <v>163</v>
      </c>
    </row>
    <row r="298" spans="1:10" x14ac:dyDescent="0.3">
      <c r="A298" s="1">
        <v>41569</v>
      </c>
      <c r="B298" t="s">
        <v>0</v>
      </c>
      <c r="C298" t="s">
        <v>496</v>
      </c>
      <c r="D298" t="s">
        <v>1</v>
      </c>
      <c r="E298" t="s">
        <v>17</v>
      </c>
      <c r="F298" t="s">
        <v>354</v>
      </c>
      <c r="G298" t="s">
        <v>38</v>
      </c>
      <c r="H298" t="s">
        <v>61</v>
      </c>
      <c r="I298">
        <v>1</v>
      </c>
      <c r="J298" t="s">
        <v>313</v>
      </c>
    </row>
    <row r="299" spans="1:10" x14ac:dyDescent="0.3">
      <c r="A299" s="1">
        <v>41571</v>
      </c>
      <c r="B299" t="s">
        <v>0</v>
      </c>
      <c r="C299" t="s">
        <v>496</v>
      </c>
      <c r="D299" t="s">
        <v>1</v>
      </c>
      <c r="E299" t="s">
        <v>40</v>
      </c>
      <c r="F299" t="s">
        <v>354</v>
      </c>
      <c r="G299" t="s">
        <v>38</v>
      </c>
      <c r="H299" t="s">
        <v>79</v>
      </c>
      <c r="I299">
        <v>1</v>
      </c>
      <c r="J299" t="s">
        <v>200</v>
      </c>
    </row>
    <row r="300" spans="1:10" x14ac:dyDescent="0.3">
      <c r="A300" s="1">
        <v>41572</v>
      </c>
      <c r="B300" t="s">
        <v>0</v>
      </c>
      <c r="C300" t="s">
        <v>496</v>
      </c>
      <c r="D300" t="s">
        <v>1</v>
      </c>
      <c r="E300" t="s">
        <v>42</v>
      </c>
      <c r="F300" t="s">
        <v>354</v>
      </c>
      <c r="G300" t="s">
        <v>38</v>
      </c>
      <c r="H300" t="s">
        <v>23</v>
      </c>
      <c r="I300">
        <v>1</v>
      </c>
      <c r="J300" t="s">
        <v>4</v>
      </c>
    </row>
    <row r="301" spans="1:10" x14ac:dyDescent="0.3">
      <c r="A301" s="1">
        <v>41573</v>
      </c>
      <c r="B301" t="s">
        <v>0</v>
      </c>
      <c r="C301" t="s">
        <v>496</v>
      </c>
      <c r="D301" t="s">
        <v>1</v>
      </c>
      <c r="E301" t="s">
        <v>46</v>
      </c>
      <c r="F301" t="s">
        <v>354</v>
      </c>
      <c r="G301" t="s">
        <v>38</v>
      </c>
      <c r="H301" t="s">
        <v>135</v>
      </c>
      <c r="I301">
        <v>2</v>
      </c>
      <c r="J301" t="s">
        <v>376</v>
      </c>
    </row>
    <row r="302" spans="1:10" x14ac:dyDescent="0.3">
      <c r="A302" s="1">
        <v>41598</v>
      </c>
      <c r="B302" t="s">
        <v>0</v>
      </c>
      <c r="C302" t="s">
        <v>498</v>
      </c>
      <c r="D302" t="s">
        <v>1</v>
      </c>
      <c r="E302" t="s">
        <v>17</v>
      </c>
      <c r="F302" t="s">
        <v>356</v>
      </c>
      <c r="G302" t="s">
        <v>38</v>
      </c>
      <c r="H302" t="s">
        <v>408</v>
      </c>
      <c r="I302">
        <v>1</v>
      </c>
      <c r="J302" t="s">
        <v>128</v>
      </c>
    </row>
    <row r="303" spans="1:10" x14ac:dyDescent="0.3">
      <c r="A303" s="1">
        <v>41599</v>
      </c>
      <c r="B303" t="s">
        <v>0</v>
      </c>
      <c r="C303" t="s">
        <v>498</v>
      </c>
      <c r="D303" t="s">
        <v>1</v>
      </c>
      <c r="E303" t="s">
        <v>40</v>
      </c>
      <c r="F303" t="s">
        <v>356</v>
      </c>
      <c r="G303" t="s">
        <v>38</v>
      </c>
      <c r="H303" t="s">
        <v>6</v>
      </c>
      <c r="I303">
        <v>1</v>
      </c>
      <c r="J303" t="s">
        <v>201</v>
      </c>
    </row>
    <row r="304" spans="1:10" x14ac:dyDescent="0.3">
      <c r="A304" s="1">
        <v>41600</v>
      </c>
      <c r="B304" t="s">
        <v>0</v>
      </c>
      <c r="C304" t="s">
        <v>498</v>
      </c>
      <c r="D304" t="s">
        <v>1</v>
      </c>
      <c r="E304" t="s">
        <v>42</v>
      </c>
      <c r="F304" t="s">
        <v>356</v>
      </c>
      <c r="G304" t="s">
        <v>38</v>
      </c>
      <c r="H304" t="s">
        <v>149</v>
      </c>
      <c r="I304">
        <v>1</v>
      </c>
      <c r="J304" t="s">
        <v>127</v>
      </c>
    </row>
    <row r="305" spans="1:10" x14ac:dyDescent="0.3">
      <c r="A305" s="1">
        <v>41601</v>
      </c>
      <c r="B305" t="s">
        <v>0</v>
      </c>
      <c r="C305" t="s">
        <v>498</v>
      </c>
      <c r="D305" t="s">
        <v>1</v>
      </c>
      <c r="E305" t="s">
        <v>46</v>
      </c>
      <c r="F305" t="s">
        <v>356</v>
      </c>
      <c r="G305" t="s">
        <v>38</v>
      </c>
      <c r="H305" t="s">
        <v>23</v>
      </c>
      <c r="I305">
        <v>1</v>
      </c>
      <c r="J305" t="s">
        <v>71</v>
      </c>
    </row>
    <row r="306" spans="1:10" x14ac:dyDescent="0.3">
      <c r="A306" s="1">
        <v>41602</v>
      </c>
      <c r="B306" t="s">
        <v>0</v>
      </c>
      <c r="C306" t="s">
        <v>498</v>
      </c>
      <c r="D306" t="s">
        <v>1</v>
      </c>
      <c r="E306" t="s">
        <v>47</v>
      </c>
      <c r="F306" t="s">
        <v>356</v>
      </c>
      <c r="G306" t="s">
        <v>38</v>
      </c>
      <c r="H306" t="s">
        <v>3</v>
      </c>
      <c r="I306">
        <v>1</v>
      </c>
      <c r="J306" t="s">
        <v>190</v>
      </c>
    </row>
    <row r="307" spans="1:10" x14ac:dyDescent="0.3">
      <c r="A307" s="1">
        <v>41619</v>
      </c>
      <c r="B307" t="s">
        <v>0</v>
      </c>
      <c r="C307" t="s">
        <v>499</v>
      </c>
      <c r="D307" t="s">
        <v>286</v>
      </c>
      <c r="E307" t="s">
        <v>287</v>
      </c>
      <c r="F307" t="s">
        <v>500</v>
      </c>
      <c r="G307" t="s">
        <v>38</v>
      </c>
      <c r="H307" t="s">
        <v>338</v>
      </c>
      <c r="I307">
        <v>1</v>
      </c>
      <c r="J307" t="s">
        <v>156</v>
      </c>
    </row>
    <row r="308" spans="1:10" x14ac:dyDescent="0.3">
      <c r="A308" s="1">
        <v>41620</v>
      </c>
      <c r="B308" t="s">
        <v>0</v>
      </c>
      <c r="C308" t="s">
        <v>499</v>
      </c>
      <c r="D308" t="s">
        <v>286</v>
      </c>
      <c r="E308" t="s">
        <v>288</v>
      </c>
      <c r="F308" t="s">
        <v>500</v>
      </c>
      <c r="G308" t="s">
        <v>38</v>
      </c>
      <c r="H308" t="s">
        <v>23</v>
      </c>
      <c r="I308">
        <v>1</v>
      </c>
      <c r="J308" t="s">
        <v>261</v>
      </c>
    </row>
    <row r="309" spans="1:10" x14ac:dyDescent="0.3">
      <c r="A309" s="1">
        <v>41621</v>
      </c>
      <c r="B309" t="s">
        <v>0</v>
      </c>
      <c r="C309" t="s">
        <v>499</v>
      </c>
      <c r="D309" t="s">
        <v>286</v>
      </c>
      <c r="E309" t="s">
        <v>289</v>
      </c>
      <c r="F309" t="s">
        <v>500</v>
      </c>
      <c r="G309" t="s">
        <v>38</v>
      </c>
      <c r="H309" t="s">
        <v>149</v>
      </c>
      <c r="I309">
        <v>1</v>
      </c>
      <c r="J309" t="s">
        <v>404</v>
      </c>
    </row>
    <row r="310" spans="1:10" x14ac:dyDescent="0.3">
      <c r="A310" s="1">
        <v>41622</v>
      </c>
      <c r="B310" t="s">
        <v>0</v>
      </c>
      <c r="C310" t="s">
        <v>499</v>
      </c>
      <c r="D310" t="s">
        <v>286</v>
      </c>
      <c r="E310" t="s">
        <v>46</v>
      </c>
      <c r="F310" t="s">
        <v>500</v>
      </c>
      <c r="G310" t="s">
        <v>38</v>
      </c>
      <c r="H310" t="s">
        <v>149</v>
      </c>
      <c r="I310">
        <v>1</v>
      </c>
      <c r="J310" t="s">
        <v>5</v>
      </c>
    </row>
    <row r="311" spans="1:10" x14ac:dyDescent="0.3">
      <c r="A311" s="1">
        <v>41623</v>
      </c>
      <c r="B311" t="s">
        <v>0</v>
      </c>
      <c r="C311" t="s">
        <v>499</v>
      </c>
      <c r="D311" t="s">
        <v>286</v>
      </c>
      <c r="E311" t="s">
        <v>47</v>
      </c>
      <c r="F311" t="s">
        <v>500</v>
      </c>
      <c r="G311" t="s">
        <v>38</v>
      </c>
      <c r="H311" t="s">
        <v>65</v>
      </c>
      <c r="I311">
        <v>1</v>
      </c>
      <c r="J311" t="s">
        <v>89</v>
      </c>
    </row>
    <row r="312" spans="1:10" x14ac:dyDescent="0.3">
      <c r="A312" s="1">
        <v>41647</v>
      </c>
      <c r="B312" t="s">
        <v>0</v>
      </c>
      <c r="C312" t="s">
        <v>501</v>
      </c>
      <c r="D312" t="s">
        <v>1</v>
      </c>
      <c r="E312" t="s">
        <v>17</v>
      </c>
      <c r="F312" t="s">
        <v>502</v>
      </c>
      <c r="G312" t="s">
        <v>38</v>
      </c>
      <c r="H312" t="s">
        <v>51</v>
      </c>
      <c r="I312">
        <v>1</v>
      </c>
      <c r="J312" t="s">
        <v>209</v>
      </c>
    </row>
    <row r="313" spans="1:10" x14ac:dyDescent="0.3">
      <c r="A313" s="1">
        <v>41648</v>
      </c>
      <c r="B313" t="s">
        <v>0</v>
      </c>
      <c r="C313" t="s">
        <v>501</v>
      </c>
      <c r="D313" t="s">
        <v>1</v>
      </c>
      <c r="E313" t="s">
        <v>40</v>
      </c>
      <c r="F313" t="s">
        <v>502</v>
      </c>
      <c r="G313" t="s">
        <v>38</v>
      </c>
      <c r="H313" t="s">
        <v>158</v>
      </c>
      <c r="I313">
        <v>1</v>
      </c>
      <c r="J313" t="s">
        <v>43</v>
      </c>
    </row>
    <row r="314" spans="1:10" x14ac:dyDescent="0.3">
      <c r="A314" s="1">
        <v>41649</v>
      </c>
      <c r="B314" t="s">
        <v>0</v>
      </c>
      <c r="C314" t="s">
        <v>501</v>
      </c>
      <c r="D314" t="s">
        <v>1</v>
      </c>
      <c r="E314" t="s">
        <v>42</v>
      </c>
      <c r="F314" t="s">
        <v>502</v>
      </c>
      <c r="G314" t="s">
        <v>38</v>
      </c>
      <c r="H314" t="s">
        <v>120</v>
      </c>
      <c r="I314">
        <v>1</v>
      </c>
      <c r="J314" t="s">
        <v>198</v>
      </c>
    </row>
    <row r="315" spans="1:10" x14ac:dyDescent="0.3">
      <c r="A315" s="1">
        <v>41650</v>
      </c>
      <c r="B315" t="s">
        <v>0</v>
      </c>
      <c r="C315" t="s">
        <v>501</v>
      </c>
      <c r="D315" t="s">
        <v>1</v>
      </c>
      <c r="E315" t="s">
        <v>46</v>
      </c>
      <c r="F315" t="s">
        <v>502</v>
      </c>
      <c r="G315" t="s">
        <v>38</v>
      </c>
      <c r="H315" t="s">
        <v>135</v>
      </c>
      <c r="I315">
        <v>1</v>
      </c>
      <c r="J315" t="s">
        <v>249</v>
      </c>
    </row>
    <row r="316" spans="1:10" x14ac:dyDescent="0.3">
      <c r="A316" s="1">
        <v>41651</v>
      </c>
      <c r="B316" t="s">
        <v>0</v>
      </c>
      <c r="C316" t="s">
        <v>501</v>
      </c>
      <c r="D316" t="s">
        <v>1</v>
      </c>
      <c r="E316" t="s">
        <v>47</v>
      </c>
      <c r="F316" t="s">
        <v>502</v>
      </c>
      <c r="G316" t="s">
        <v>38</v>
      </c>
      <c r="H316" t="s">
        <v>253</v>
      </c>
      <c r="I316">
        <v>2</v>
      </c>
      <c r="J316" t="s">
        <v>96</v>
      </c>
    </row>
    <row r="317" spans="1:10" x14ac:dyDescent="0.3">
      <c r="A317" s="1">
        <v>41654</v>
      </c>
      <c r="B317" t="s">
        <v>0</v>
      </c>
      <c r="C317" t="s">
        <v>503</v>
      </c>
      <c r="D317" t="s">
        <v>286</v>
      </c>
      <c r="E317" t="s">
        <v>17</v>
      </c>
      <c r="F317" t="s">
        <v>504</v>
      </c>
      <c r="G317" t="s">
        <v>38</v>
      </c>
      <c r="H317" t="s">
        <v>64</v>
      </c>
      <c r="I317">
        <v>1</v>
      </c>
      <c r="J317" t="s">
        <v>213</v>
      </c>
    </row>
    <row r="318" spans="1:10" x14ac:dyDescent="0.3">
      <c r="A318" s="1">
        <v>41655</v>
      </c>
      <c r="B318" t="s">
        <v>0</v>
      </c>
      <c r="C318" t="s">
        <v>503</v>
      </c>
      <c r="D318" t="s">
        <v>286</v>
      </c>
      <c r="E318" t="s">
        <v>40</v>
      </c>
      <c r="F318" t="s">
        <v>504</v>
      </c>
      <c r="G318" t="s">
        <v>38</v>
      </c>
      <c r="H318" t="s">
        <v>338</v>
      </c>
      <c r="I318">
        <v>1</v>
      </c>
      <c r="J318" t="s">
        <v>119</v>
      </c>
    </row>
    <row r="319" spans="1:10" x14ac:dyDescent="0.3">
      <c r="A319" s="1">
        <v>41656</v>
      </c>
      <c r="B319" t="s">
        <v>0</v>
      </c>
      <c r="C319" t="s">
        <v>503</v>
      </c>
      <c r="D319" t="s">
        <v>286</v>
      </c>
      <c r="E319" t="s">
        <v>42</v>
      </c>
      <c r="F319" t="s">
        <v>504</v>
      </c>
      <c r="G319" t="s">
        <v>38</v>
      </c>
      <c r="H319" t="s">
        <v>120</v>
      </c>
      <c r="I319">
        <v>1</v>
      </c>
      <c r="J319" t="s">
        <v>115</v>
      </c>
    </row>
    <row r="320" spans="1:10" x14ac:dyDescent="0.3">
      <c r="A320" s="1">
        <v>41657</v>
      </c>
      <c r="B320" t="s">
        <v>0</v>
      </c>
      <c r="C320" t="s">
        <v>503</v>
      </c>
      <c r="D320" t="s">
        <v>286</v>
      </c>
      <c r="E320" t="s">
        <v>46</v>
      </c>
      <c r="F320" t="s">
        <v>504</v>
      </c>
      <c r="G320" t="s">
        <v>38</v>
      </c>
      <c r="H320" t="s">
        <v>149</v>
      </c>
      <c r="I320">
        <v>1</v>
      </c>
      <c r="J320" t="s">
        <v>506</v>
      </c>
    </row>
    <row r="321" spans="1:10" x14ac:dyDescent="0.3">
      <c r="A321" s="1">
        <v>41658</v>
      </c>
      <c r="B321" t="s">
        <v>0</v>
      </c>
      <c r="C321" t="s">
        <v>503</v>
      </c>
      <c r="D321" t="s">
        <v>286</v>
      </c>
      <c r="E321" t="s">
        <v>47</v>
      </c>
      <c r="F321" t="s">
        <v>504</v>
      </c>
      <c r="G321" t="s">
        <v>38</v>
      </c>
      <c r="H321" t="s">
        <v>65</v>
      </c>
      <c r="I321">
        <v>1</v>
      </c>
      <c r="J321" t="s">
        <v>132</v>
      </c>
    </row>
    <row r="322" spans="1:10" x14ac:dyDescent="0.3">
      <c r="A322" s="1">
        <v>41703</v>
      </c>
      <c r="B322" t="s">
        <v>0</v>
      </c>
      <c r="C322" t="s">
        <v>507</v>
      </c>
      <c r="D322" t="s">
        <v>286</v>
      </c>
      <c r="E322" t="s">
        <v>17</v>
      </c>
      <c r="F322" t="s">
        <v>374</v>
      </c>
      <c r="G322" t="s">
        <v>38</v>
      </c>
      <c r="H322" t="s">
        <v>227</v>
      </c>
      <c r="I322">
        <v>1</v>
      </c>
      <c r="J322" t="s">
        <v>177</v>
      </c>
    </row>
    <row r="323" spans="1:10" x14ac:dyDescent="0.3">
      <c r="A323" s="1">
        <v>41704</v>
      </c>
      <c r="B323" t="s">
        <v>0</v>
      </c>
      <c r="C323" t="s">
        <v>507</v>
      </c>
      <c r="D323" t="s">
        <v>286</v>
      </c>
      <c r="E323" t="s">
        <v>40</v>
      </c>
      <c r="F323" t="s">
        <v>374</v>
      </c>
      <c r="G323" t="s">
        <v>38</v>
      </c>
      <c r="H323" t="s">
        <v>6</v>
      </c>
      <c r="I323">
        <v>1</v>
      </c>
      <c r="J323" t="s">
        <v>332</v>
      </c>
    </row>
    <row r="324" spans="1:10" x14ac:dyDescent="0.3">
      <c r="A324" s="1">
        <v>41705</v>
      </c>
      <c r="B324" t="s">
        <v>0</v>
      </c>
      <c r="C324" t="s">
        <v>507</v>
      </c>
      <c r="D324" t="s">
        <v>286</v>
      </c>
      <c r="E324" t="s">
        <v>42</v>
      </c>
      <c r="F324" t="s">
        <v>374</v>
      </c>
      <c r="G324" t="s">
        <v>38</v>
      </c>
      <c r="H324" t="s">
        <v>405</v>
      </c>
      <c r="I324">
        <v>1</v>
      </c>
      <c r="J324" t="s">
        <v>43</v>
      </c>
    </row>
    <row r="325" spans="1:10" x14ac:dyDescent="0.3">
      <c r="A325" s="1">
        <v>41706</v>
      </c>
      <c r="B325" t="s">
        <v>0</v>
      </c>
      <c r="C325" t="s">
        <v>507</v>
      </c>
      <c r="D325" t="s">
        <v>286</v>
      </c>
      <c r="E325" t="s">
        <v>46</v>
      </c>
      <c r="F325" t="s">
        <v>374</v>
      </c>
      <c r="G325" t="s">
        <v>38</v>
      </c>
      <c r="H325" t="s">
        <v>51</v>
      </c>
      <c r="I325">
        <v>1</v>
      </c>
      <c r="J325" t="s">
        <v>270</v>
      </c>
    </row>
    <row r="326" spans="1:10" x14ac:dyDescent="0.3">
      <c r="A326" s="1">
        <v>41707</v>
      </c>
      <c r="B326" t="s">
        <v>0</v>
      </c>
      <c r="C326" t="s">
        <v>507</v>
      </c>
      <c r="D326" t="s">
        <v>286</v>
      </c>
      <c r="E326" t="s">
        <v>47</v>
      </c>
      <c r="F326" t="s">
        <v>374</v>
      </c>
      <c r="G326" t="s">
        <v>38</v>
      </c>
      <c r="H326" t="s">
        <v>253</v>
      </c>
      <c r="I326">
        <v>1</v>
      </c>
      <c r="J326" t="s">
        <v>202</v>
      </c>
    </row>
    <row r="327" spans="1:10" x14ac:dyDescent="0.3">
      <c r="A327" s="1">
        <v>41731</v>
      </c>
      <c r="B327" t="s">
        <v>0</v>
      </c>
      <c r="C327" t="s">
        <v>508</v>
      </c>
      <c r="D327" t="s">
        <v>1</v>
      </c>
      <c r="E327" t="s">
        <v>17</v>
      </c>
      <c r="F327" t="s">
        <v>378</v>
      </c>
      <c r="G327" t="s">
        <v>38</v>
      </c>
      <c r="H327" t="s">
        <v>315</v>
      </c>
      <c r="I327">
        <v>1</v>
      </c>
      <c r="J327" t="s">
        <v>212</v>
      </c>
    </row>
    <row r="328" spans="1:10" x14ac:dyDescent="0.3">
      <c r="A328" s="1">
        <v>41732</v>
      </c>
      <c r="B328" t="s">
        <v>0</v>
      </c>
      <c r="C328" t="s">
        <v>508</v>
      </c>
      <c r="D328" t="s">
        <v>1</v>
      </c>
      <c r="E328" t="s">
        <v>40</v>
      </c>
      <c r="F328" t="s">
        <v>378</v>
      </c>
      <c r="G328" t="s">
        <v>38</v>
      </c>
      <c r="H328" t="s">
        <v>255</v>
      </c>
      <c r="I328">
        <v>1</v>
      </c>
      <c r="J328" t="s">
        <v>238</v>
      </c>
    </row>
    <row r="329" spans="1:10" x14ac:dyDescent="0.3">
      <c r="A329" s="1">
        <v>41733</v>
      </c>
      <c r="B329" t="s">
        <v>0</v>
      </c>
      <c r="C329" t="s">
        <v>508</v>
      </c>
      <c r="D329" t="s">
        <v>1</v>
      </c>
      <c r="E329" t="s">
        <v>42</v>
      </c>
      <c r="F329" t="s">
        <v>378</v>
      </c>
      <c r="G329" t="s">
        <v>38</v>
      </c>
      <c r="H329" t="s">
        <v>61</v>
      </c>
      <c r="I329">
        <v>1</v>
      </c>
      <c r="J329" t="s">
        <v>186</v>
      </c>
    </row>
    <row r="330" spans="1:10" x14ac:dyDescent="0.3">
      <c r="A330" s="1">
        <v>41734</v>
      </c>
      <c r="B330" t="s">
        <v>0</v>
      </c>
      <c r="C330" t="s">
        <v>508</v>
      </c>
      <c r="D330" t="s">
        <v>1</v>
      </c>
      <c r="E330" t="s">
        <v>46</v>
      </c>
      <c r="F330" t="s">
        <v>378</v>
      </c>
      <c r="G330" t="s">
        <v>38</v>
      </c>
      <c r="H330" t="s">
        <v>120</v>
      </c>
      <c r="I330">
        <v>1</v>
      </c>
      <c r="J330" t="s">
        <v>335</v>
      </c>
    </row>
    <row r="331" spans="1:10" x14ac:dyDescent="0.3">
      <c r="A331" s="1">
        <v>41735</v>
      </c>
      <c r="B331" t="s">
        <v>0</v>
      </c>
      <c r="C331" t="s">
        <v>508</v>
      </c>
      <c r="D331" t="s">
        <v>1</v>
      </c>
      <c r="E331" t="s">
        <v>47</v>
      </c>
      <c r="F331" t="s">
        <v>378</v>
      </c>
      <c r="G331" t="s">
        <v>38</v>
      </c>
      <c r="H331" t="s">
        <v>253</v>
      </c>
      <c r="I331">
        <v>1</v>
      </c>
      <c r="J331" t="s">
        <v>4</v>
      </c>
    </row>
    <row r="332" spans="1:10" x14ac:dyDescent="0.3">
      <c r="A332" s="1">
        <v>41738</v>
      </c>
      <c r="B332" t="s">
        <v>0</v>
      </c>
      <c r="C332" t="s">
        <v>509</v>
      </c>
      <c r="D332" t="s">
        <v>1</v>
      </c>
      <c r="E332" t="s">
        <v>17</v>
      </c>
      <c r="F332" t="s">
        <v>319</v>
      </c>
      <c r="G332" t="s">
        <v>38</v>
      </c>
      <c r="H332" t="s">
        <v>389</v>
      </c>
      <c r="I332">
        <v>1</v>
      </c>
      <c r="J332" t="s">
        <v>103</v>
      </c>
    </row>
    <row r="333" spans="1:10" x14ac:dyDescent="0.3">
      <c r="A333" s="1">
        <v>41739</v>
      </c>
      <c r="B333" t="s">
        <v>0</v>
      </c>
      <c r="C333" t="s">
        <v>509</v>
      </c>
      <c r="D333" t="s">
        <v>1</v>
      </c>
      <c r="E333" t="s">
        <v>40</v>
      </c>
      <c r="F333" t="s">
        <v>319</v>
      </c>
      <c r="G333" t="s">
        <v>38</v>
      </c>
      <c r="H333" t="s">
        <v>344</v>
      </c>
      <c r="I333">
        <v>1</v>
      </c>
      <c r="J333" t="s">
        <v>303</v>
      </c>
    </row>
    <row r="334" spans="1:10" x14ac:dyDescent="0.3">
      <c r="A334" s="1">
        <v>41740</v>
      </c>
      <c r="B334" t="s">
        <v>0</v>
      </c>
      <c r="C334" t="s">
        <v>509</v>
      </c>
      <c r="D334" t="s">
        <v>1</v>
      </c>
      <c r="E334" t="s">
        <v>42</v>
      </c>
      <c r="F334" t="s">
        <v>319</v>
      </c>
      <c r="G334" t="s">
        <v>38</v>
      </c>
      <c r="H334" t="s">
        <v>227</v>
      </c>
      <c r="I334">
        <v>1</v>
      </c>
      <c r="J334" t="s">
        <v>375</v>
      </c>
    </row>
    <row r="335" spans="1:10" x14ac:dyDescent="0.3">
      <c r="A335" s="1">
        <v>41741</v>
      </c>
      <c r="B335" t="s">
        <v>0</v>
      </c>
      <c r="C335" t="s">
        <v>509</v>
      </c>
      <c r="D335" t="s">
        <v>1</v>
      </c>
      <c r="E335" t="s">
        <v>46</v>
      </c>
      <c r="F335" t="s">
        <v>319</v>
      </c>
      <c r="G335" t="s">
        <v>38</v>
      </c>
      <c r="H335" t="s">
        <v>408</v>
      </c>
      <c r="I335">
        <v>1</v>
      </c>
      <c r="J335" t="s">
        <v>113</v>
      </c>
    </row>
    <row r="336" spans="1:10" x14ac:dyDescent="0.3">
      <c r="A336" s="1">
        <v>41742</v>
      </c>
      <c r="B336" t="s">
        <v>0</v>
      </c>
      <c r="C336" t="s">
        <v>509</v>
      </c>
      <c r="D336" t="s">
        <v>1</v>
      </c>
      <c r="E336" t="s">
        <v>47</v>
      </c>
      <c r="F336" t="s">
        <v>319</v>
      </c>
      <c r="G336" t="s">
        <v>38</v>
      </c>
      <c r="H336" t="s">
        <v>68</v>
      </c>
      <c r="I336">
        <v>2</v>
      </c>
      <c r="J336" t="s">
        <v>93</v>
      </c>
    </row>
    <row r="337" spans="1:10" x14ac:dyDescent="0.3">
      <c r="A337" s="1">
        <v>41801</v>
      </c>
      <c r="B337" t="s">
        <v>0</v>
      </c>
      <c r="C337" t="s">
        <v>510</v>
      </c>
      <c r="D337" t="s">
        <v>1</v>
      </c>
      <c r="E337" t="s">
        <v>17</v>
      </c>
      <c r="F337" t="s">
        <v>348</v>
      </c>
      <c r="G337" t="s">
        <v>38</v>
      </c>
      <c r="H337" t="s">
        <v>225</v>
      </c>
      <c r="I337">
        <v>1</v>
      </c>
      <c r="J337" t="s">
        <v>186</v>
      </c>
    </row>
    <row r="338" spans="1:10" x14ac:dyDescent="0.3">
      <c r="A338" s="1">
        <v>41802</v>
      </c>
      <c r="B338" t="s">
        <v>0</v>
      </c>
      <c r="C338" t="s">
        <v>510</v>
      </c>
      <c r="D338" t="s">
        <v>1</v>
      </c>
      <c r="E338" t="s">
        <v>40</v>
      </c>
      <c r="F338" t="s">
        <v>348</v>
      </c>
      <c r="G338" t="s">
        <v>38</v>
      </c>
      <c r="H338" t="s">
        <v>158</v>
      </c>
      <c r="I338">
        <v>1</v>
      </c>
      <c r="J338" t="s">
        <v>193</v>
      </c>
    </row>
    <row r="339" spans="1:10" x14ac:dyDescent="0.3">
      <c r="A339" s="1">
        <v>41803</v>
      </c>
      <c r="B339" t="s">
        <v>0</v>
      </c>
      <c r="C339" t="s">
        <v>510</v>
      </c>
      <c r="D339" t="s">
        <v>1</v>
      </c>
      <c r="E339" t="s">
        <v>42</v>
      </c>
      <c r="F339" t="s">
        <v>348</v>
      </c>
      <c r="G339" t="s">
        <v>38</v>
      </c>
      <c r="H339" t="s">
        <v>65</v>
      </c>
      <c r="I339">
        <v>1</v>
      </c>
      <c r="J339" t="s">
        <v>511</v>
      </c>
    </row>
    <row r="340" spans="1:10" x14ac:dyDescent="0.3">
      <c r="A340" s="1">
        <v>41804</v>
      </c>
      <c r="B340" t="s">
        <v>0</v>
      </c>
      <c r="C340" t="s">
        <v>510</v>
      </c>
      <c r="D340" t="s">
        <v>1</v>
      </c>
      <c r="E340" t="s">
        <v>46</v>
      </c>
      <c r="F340" t="s">
        <v>348</v>
      </c>
      <c r="G340" t="s">
        <v>38</v>
      </c>
      <c r="H340" t="s">
        <v>135</v>
      </c>
      <c r="I340">
        <v>1</v>
      </c>
      <c r="J340" t="s">
        <v>177</v>
      </c>
    </row>
    <row r="341" spans="1:10" x14ac:dyDescent="0.3">
      <c r="A341" s="1">
        <v>41805</v>
      </c>
      <c r="B341" t="s">
        <v>0</v>
      </c>
      <c r="C341" t="s">
        <v>510</v>
      </c>
      <c r="D341" t="s">
        <v>1</v>
      </c>
      <c r="E341" t="s">
        <v>47</v>
      </c>
      <c r="F341" t="s">
        <v>348</v>
      </c>
      <c r="G341" t="s">
        <v>38</v>
      </c>
      <c r="H341" t="s">
        <v>220</v>
      </c>
      <c r="I341">
        <v>1</v>
      </c>
      <c r="J341" t="s">
        <v>153</v>
      </c>
    </row>
    <row r="342" spans="1:10" x14ac:dyDescent="0.3">
      <c r="A342" s="1">
        <v>41808</v>
      </c>
      <c r="B342" t="s">
        <v>0</v>
      </c>
      <c r="C342" t="s">
        <v>512</v>
      </c>
      <c r="D342" t="s">
        <v>286</v>
      </c>
      <c r="E342" t="s">
        <v>17</v>
      </c>
      <c r="F342" t="s">
        <v>322</v>
      </c>
      <c r="G342" t="s">
        <v>38</v>
      </c>
      <c r="H342" t="s">
        <v>3</v>
      </c>
      <c r="I342">
        <v>1</v>
      </c>
      <c r="J342" t="s">
        <v>353</v>
      </c>
    </row>
    <row r="343" spans="1:10" x14ac:dyDescent="0.3">
      <c r="A343" s="1">
        <v>41809</v>
      </c>
      <c r="B343" t="s">
        <v>0</v>
      </c>
      <c r="C343" t="s">
        <v>512</v>
      </c>
      <c r="D343" t="s">
        <v>286</v>
      </c>
      <c r="E343" t="s">
        <v>40</v>
      </c>
      <c r="F343" t="s">
        <v>322</v>
      </c>
      <c r="G343" t="s">
        <v>38</v>
      </c>
      <c r="H343" t="s">
        <v>155</v>
      </c>
      <c r="I343">
        <v>1</v>
      </c>
      <c r="J343" t="s">
        <v>513</v>
      </c>
    </row>
    <row r="344" spans="1:10" x14ac:dyDescent="0.3">
      <c r="A344" s="1">
        <v>41810</v>
      </c>
      <c r="B344" t="s">
        <v>0</v>
      </c>
      <c r="C344" t="s">
        <v>512</v>
      </c>
      <c r="D344" t="s">
        <v>286</v>
      </c>
      <c r="E344" t="s">
        <v>42</v>
      </c>
      <c r="F344" t="s">
        <v>322</v>
      </c>
      <c r="G344" t="s">
        <v>38</v>
      </c>
      <c r="H344" t="s">
        <v>64</v>
      </c>
      <c r="I344">
        <v>1</v>
      </c>
      <c r="J344" t="s">
        <v>152</v>
      </c>
    </row>
    <row r="345" spans="1:10" x14ac:dyDescent="0.3">
      <c r="A345" s="1">
        <v>41811</v>
      </c>
      <c r="B345" t="s">
        <v>0</v>
      </c>
      <c r="C345" t="s">
        <v>512</v>
      </c>
      <c r="D345" t="s">
        <v>286</v>
      </c>
      <c r="E345" t="s">
        <v>46</v>
      </c>
      <c r="F345" t="s">
        <v>322</v>
      </c>
      <c r="G345" t="s">
        <v>38</v>
      </c>
      <c r="H345" t="s">
        <v>135</v>
      </c>
      <c r="I345">
        <v>2</v>
      </c>
      <c r="J345" t="s">
        <v>514</v>
      </c>
    </row>
    <row r="346" spans="1:10" x14ac:dyDescent="0.3">
      <c r="A346" s="1">
        <v>41876</v>
      </c>
      <c r="B346" t="s">
        <v>0</v>
      </c>
      <c r="C346" t="s">
        <v>516</v>
      </c>
      <c r="D346" t="s">
        <v>425</v>
      </c>
      <c r="E346" t="s">
        <v>222</v>
      </c>
      <c r="F346" t="s">
        <v>517</v>
      </c>
      <c r="G346" t="s">
        <v>38</v>
      </c>
      <c r="H346" t="s">
        <v>298</v>
      </c>
      <c r="I346">
        <v>1</v>
      </c>
      <c r="J346" t="s">
        <v>266</v>
      </c>
    </row>
    <row r="347" spans="1:10" x14ac:dyDescent="0.3">
      <c r="A347" s="1">
        <v>41878</v>
      </c>
      <c r="B347" t="s">
        <v>0</v>
      </c>
      <c r="C347" t="s">
        <v>516</v>
      </c>
      <c r="D347" t="s">
        <v>425</v>
      </c>
      <c r="E347" t="s">
        <v>17</v>
      </c>
      <c r="F347" t="s">
        <v>517</v>
      </c>
      <c r="G347" t="s">
        <v>38</v>
      </c>
      <c r="H347" t="s">
        <v>262</v>
      </c>
      <c r="I347">
        <v>1</v>
      </c>
      <c r="J347" t="s">
        <v>421</v>
      </c>
    </row>
    <row r="348" spans="1:10" x14ac:dyDescent="0.3">
      <c r="A348" s="1">
        <v>41879</v>
      </c>
      <c r="B348" t="s">
        <v>0</v>
      </c>
      <c r="C348" t="s">
        <v>516</v>
      </c>
      <c r="D348" t="s">
        <v>425</v>
      </c>
      <c r="E348" t="s">
        <v>40</v>
      </c>
      <c r="F348" t="s">
        <v>517</v>
      </c>
      <c r="G348" t="s">
        <v>38</v>
      </c>
      <c r="H348" t="s">
        <v>69</v>
      </c>
      <c r="I348">
        <v>1</v>
      </c>
      <c r="J348" t="s">
        <v>266</v>
      </c>
    </row>
    <row r="349" spans="1:10" x14ac:dyDescent="0.3">
      <c r="A349" s="1">
        <v>41880</v>
      </c>
      <c r="B349" t="s">
        <v>0</v>
      </c>
      <c r="C349" t="s">
        <v>516</v>
      </c>
      <c r="D349" t="s">
        <v>425</v>
      </c>
      <c r="E349" t="s">
        <v>42</v>
      </c>
      <c r="F349" t="s">
        <v>517</v>
      </c>
      <c r="G349" t="s">
        <v>38</v>
      </c>
      <c r="H349" t="s">
        <v>338</v>
      </c>
      <c r="I349">
        <v>1</v>
      </c>
      <c r="J349" t="s">
        <v>369</v>
      </c>
    </row>
    <row r="350" spans="1:10" x14ac:dyDescent="0.3">
      <c r="A350" s="1">
        <v>41881</v>
      </c>
      <c r="B350" t="s">
        <v>0</v>
      </c>
      <c r="C350" t="s">
        <v>516</v>
      </c>
      <c r="D350" t="s">
        <v>425</v>
      </c>
      <c r="E350" t="s">
        <v>46</v>
      </c>
      <c r="F350" t="s">
        <v>517</v>
      </c>
      <c r="G350" t="s">
        <v>38</v>
      </c>
      <c r="H350" t="s">
        <v>398</v>
      </c>
      <c r="I350">
        <v>1</v>
      </c>
      <c r="J350" t="s">
        <v>175</v>
      </c>
    </row>
    <row r="351" spans="1:10" x14ac:dyDescent="0.3">
      <c r="A351" s="1">
        <v>41882</v>
      </c>
      <c r="B351" t="s">
        <v>0</v>
      </c>
      <c r="C351" t="s">
        <v>516</v>
      </c>
      <c r="D351" t="s">
        <v>425</v>
      </c>
      <c r="E351" t="s">
        <v>47</v>
      </c>
      <c r="F351" t="s">
        <v>517</v>
      </c>
      <c r="G351" t="s">
        <v>38</v>
      </c>
      <c r="H351" t="s">
        <v>253</v>
      </c>
      <c r="I351">
        <v>2</v>
      </c>
      <c r="J351" t="s">
        <v>75</v>
      </c>
    </row>
    <row r="352" spans="1:10" x14ac:dyDescent="0.3">
      <c r="A352" s="1">
        <v>42171</v>
      </c>
      <c r="B352" t="s">
        <v>0</v>
      </c>
      <c r="C352" t="s">
        <v>527</v>
      </c>
      <c r="D352" t="s">
        <v>219</v>
      </c>
      <c r="E352" t="s">
        <v>222</v>
      </c>
      <c r="F352" t="s">
        <v>528</v>
      </c>
      <c r="G352" t="s">
        <v>38</v>
      </c>
      <c r="H352" t="s">
        <v>422</v>
      </c>
      <c r="I352">
        <v>1</v>
      </c>
      <c r="J352" t="s">
        <v>44</v>
      </c>
    </row>
    <row r="353" spans="1:10" x14ac:dyDescent="0.3">
      <c r="A353" s="1">
        <v>42173</v>
      </c>
      <c r="B353" t="s">
        <v>0</v>
      </c>
      <c r="C353" t="s">
        <v>527</v>
      </c>
      <c r="D353" t="s">
        <v>219</v>
      </c>
      <c r="E353" t="s">
        <v>40</v>
      </c>
      <c r="F353" t="s">
        <v>528</v>
      </c>
      <c r="G353" t="s">
        <v>38</v>
      </c>
      <c r="H353" t="s">
        <v>467</v>
      </c>
      <c r="I353">
        <v>1</v>
      </c>
      <c r="J353" t="s">
        <v>216</v>
      </c>
    </row>
    <row r="354" spans="1:10" x14ac:dyDescent="0.3">
      <c r="A354" s="1">
        <v>42174</v>
      </c>
      <c r="B354" t="s">
        <v>0</v>
      </c>
      <c r="C354" t="s">
        <v>527</v>
      </c>
      <c r="D354" t="s">
        <v>219</v>
      </c>
      <c r="E354" t="s">
        <v>42</v>
      </c>
      <c r="F354" t="s">
        <v>528</v>
      </c>
      <c r="G354" t="s">
        <v>38</v>
      </c>
      <c r="H354" t="s">
        <v>62</v>
      </c>
      <c r="I354">
        <v>1</v>
      </c>
      <c r="J354" t="s">
        <v>53</v>
      </c>
    </row>
    <row r="355" spans="1:10" x14ac:dyDescent="0.3">
      <c r="A355" s="1">
        <v>42180</v>
      </c>
      <c r="B355" t="s">
        <v>0</v>
      </c>
      <c r="C355" t="s">
        <v>529</v>
      </c>
      <c r="D355" t="s">
        <v>229</v>
      </c>
      <c r="E355" t="s">
        <v>40</v>
      </c>
      <c r="F355" t="s">
        <v>530</v>
      </c>
      <c r="G355" t="s">
        <v>38</v>
      </c>
      <c r="H355" t="s">
        <v>169</v>
      </c>
      <c r="I355">
        <v>1</v>
      </c>
      <c r="J355" t="s">
        <v>531</v>
      </c>
    </row>
    <row r="356" spans="1:10" x14ac:dyDescent="0.3">
      <c r="A356" s="1">
        <v>42181</v>
      </c>
      <c r="B356" t="s">
        <v>0</v>
      </c>
      <c r="C356" t="s">
        <v>529</v>
      </c>
      <c r="D356" t="s">
        <v>229</v>
      </c>
      <c r="E356" t="s">
        <v>42</v>
      </c>
      <c r="F356" t="s">
        <v>530</v>
      </c>
      <c r="G356" t="s">
        <v>38</v>
      </c>
      <c r="H356" t="s">
        <v>316</v>
      </c>
      <c r="I356">
        <v>1</v>
      </c>
      <c r="J356" t="s">
        <v>532</v>
      </c>
    </row>
    <row r="357" spans="1:10" x14ac:dyDescent="0.3">
      <c r="A357" s="1">
        <v>42182</v>
      </c>
      <c r="B357" t="s">
        <v>0</v>
      </c>
      <c r="C357" t="s">
        <v>529</v>
      </c>
      <c r="D357" t="s">
        <v>229</v>
      </c>
      <c r="E357" t="s">
        <v>46</v>
      </c>
      <c r="F357" t="s">
        <v>530</v>
      </c>
      <c r="G357" t="s">
        <v>38</v>
      </c>
      <c r="H357" t="s">
        <v>136</v>
      </c>
      <c r="I357">
        <v>1</v>
      </c>
      <c r="J357" t="s">
        <v>533</v>
      </c>
    </row>
    <row r="358" spans="1:10" x14ac:dyDescent="0.3">
      <c r="A358" s="1">
        <v>42255</v>
      </c>
      <c r="B358" t="s">
        <v>0</v>
      </c>
      <c r="C358" t="s">
        <v>534</v>
      </c>
      <c r="D358" t="s">
        <v>1</v>
      </c>
      <c r="E358" t="s">
        <v>11</v>
      </c>
      <c r="F358" t="s">
        <v>348</v>
      </c>
      <c r="G358" t="s">
        <v>38</v>
      </c>
      <c r="H358" t="s">
        <v>231</v>
      </c>
      <c r="I358">
        <v>1</v>
      </c>
      <c r="J358" t="s">
        <v>535</v>
      </c>
    </row>
    <row r="359" spans="1:10" x14ac:dyDescent="0.3">
      <c r="A359" s="1">
        <v>42255</v>
      </c>
      <c r="B359" t="s">
        <v>0</v>
      </c>
      <c r="C359" t="s">
        <v>534</v>
      </c>
      <c r="D359" t="s">
        <v>1</v>
      </c>
      <c r="E359" t="s">
        <v>15</v>
      </c>
      <c r="F359" t="s">
        <v>348</v>
      </c>
      <c r="G359" t="s">
        <v>38</v>
      </c>
      <c r="H359" t="s">
        <v>441</v>
      </c>
      <c r="I359">
        <v>1</v>
      </c>
      <c r="J359" t="s">
        <v>89</v>
      </c>
    </row>
    <row r="360" spans="1:10" x14ac:dyDescent="0.3">
      <c r="A360" s="1">
        <v>42262</v>
      </c>
      <c r="B360" t="s">
        <v>0</v>
      </c>
      <c r="C360" t="s">
        <v>501</v>
      </c>
      <c r="D360" t="s">
        <v>1</v>
      </c>
      <c r="E360" t="s">
        <v>11</v>
      </c>
      <c r="F360" t="s">
        <v>365</v>
      </c>
      <c r="G360" t="s">
        <v>38</v>
      </c>
      <c r="H360" t="s">
        <v>441</v>
      </c>
      <c r="I360">
        <v>2</v>
      </c>
      <c r="J360" t="s">
        <v>75</v>
      </c>
    </row>
    <row r="361" spans="1:10" x14ac:dyDescent="0.3">
      <c r="A361" s="1">
        <v>42292</v>
      </c>
      <c r="B361" t="s">
        <v>0</v>
      </c>
      <c r="C361" t="s">
        <v>518</v>
      </c>
      <c r="D361" t="s">
        <v>286</v>
      </c>
      <c r="E361" t="s">
        <v>40</v>
      </c>
      <c r="F361" t="s">
        <v>402</v>
      </c>
      <c r="G361" t="s">
        <v>38</v>
      </c>
      <c r="H361" t="s">
        <v>389</v>
      </c>
      <c r="I361">
        <v>2</v>
      </c>
      <c r="J361" t="s">
        <v>217</v>
      </c>
    </row>
    <row r="362" spans="1:10" x14ac:dyDescent="0.3">
      <c r="A362" s="1">
        <v>42298</v>
      </c>
      <c r="B362" t="s">
        <v>0</v>
      </c>
      <c r="C362" t="s">
        <v>519</v>
      </c>
      <c r="D362" t="s">
        <v>1</v>
      </c>
      <c r="E362" t="s">
        <v>17</v>
      </c>
      <c r="F362" t="s">
        <v>354</v>
      </c>
      <c r="G362" t="s">
        <v>38</v>
      </c>
      <c r="H362" t="s">
        <v>155</v>
      </c>
      <c r="I362">
        <v>1</v>
      </c>
      <c r="J362" t="s">
        <v>81</v>
      </c>
    </row>
    <row r="363" spans="1:10" x14ac:dyDescent="0.3">
      <c r="A363" s="1">
        <v>42302</v>
      </c>
      <c r="B363" t="s">
        <v>0</v>
      </c>
      <c r="C363" t="s">
        <v>519</v>
      </c>
      <c r="D363" t="s">
        <v>1</v>
      </c>
      <c r="E363" t="s">
        <v>47</v>
      </c>
      <c r="F363" t="s">
        <v>354</v>
      </c>
      <c r="G363" t="s">
        <v>38</v>
      </c>
      <c r="H363" t="s">
        <v>226</v>
      </c>
      <c r="I363">
        <v>1</v>
      </c>
      <c r="J363" t="s">
        <v>202</v>
      </c>
    </row>
    <row r="364" spans="1:10" x14ac:dyDescent="0.3">
      <c r="A364" s="1">
        <v>42319</v>
      </c>
      <c r="B364" t="s">
        <v>0</v>
      </c>
      <c r="C364" t="s">
        <v>536</v>
      </c>
      <c r="D364" t="s">
        <v>286</v>
      </c>
      <c r="E364" t="s">
        <v>17</v>
      </c>
      <c r="F364" t="s">
        <v>521</v>
      </c>
      <c r="G364" t="s">
        <v>38</v>
      </c>
      <c r="H364" t="s">
        <v>339</v>
      </c>
      <c r="I364">
        <v>1</v>
      </c>
      <c r="J364" t="s">
        <v>254</v>
      </c>
    </row>
    <row r="365" spans="1:10" x14ac:dyDescent="0.3">
      <c r="A365" s="1">
        <v>42320</v>
      </c>
      <c r="B365" t="s">
        <v>0</v>
      </c>
      <c r="C365" t="s">
        <v>536</v>
      </c>
      <c r="D365" t="s">
        <v>286</v>
      </c>
      <c r="E365" t="s">
        <v>40</v>
      </c>
      <c r="F365" t="s">
        <v>521</v>
      </c>
      <c r="G365" t="s">
        <v>38</v>
      </c>
      <c r="H365" t="s">
        <v>226</v>
      </c>
      <c r="I365">
        <v>1</v>
      </c>
      <c r="J365" t="s">
        <v>537</v>
      </c>
    </row>
    <row r="366" spans="1:10" x14ac:dyDescent="0.3">
      <c r="A366" s="1">
        <v>42321</v>
      </c>
      <c r="B366" t="s">
        <v>0</v>
      </c>
      <c r="C366" t="s">
        <v>536</v>
      </c>
      <c r="D366" t="s">
        <v>286</v>
      </c>
      <c r="E366" t="s">
        <v>42</v>
      </c>
      <c r="F366" t="s">
        <v>521</v>
      </c>
      <c r="G366" t="s">
        <v>38</v>
      </c>
      <c r="H366" t="s">
        <v>149</v>
      </c>
      <c r="I366">
        <v>1</v>
      </c>
      <c r="J366" t="s">
        <v>538</v>
      </c>
    </row>
    <row r="367" spans="1:10" x14ac:dyDescent="0.3">
      <c r="A367" s="1">
        <v>42327</v>
      </c>
      <c r="B367" t="s">
        <v>0</v>
      </c>
      <c r="C367" t="s">
        <v>539</v>
      </c>
      <c r="D367" t="s">
        <v>1</v>
      </c>
      <c r="E367" t="s">
        <v>40</v>
      </c>
      <c r="F367" t="s">
        <v>439</v>
      </c>
      <c r="G367" t="s">
        <v>38</v>
      </c>
      <c r="H367" t="s">
        <v>158</v>
      </c>
      <c r="I367">
        <v>1</v>
      </c>
      <c r="J367" t="s">
        <v>126</v>
      </c>
    </row>
    <row r="368" spans="1:10" x14ac:dyDescent="0.3">
      <c r="A368" s="1">
        <v>42329</v>
      </c>
      <c r="B368" t="s">
        <v>0</v>
      </c>
      <c r="C368" t="s">
        <v>539</v>
      </c>
      <c r="D368" t="s">
        <v>1</v>
      </c>
      <c r="E368" t="s">
        <v>46</v>
      </c>
      <c r="F368" t="s">
        <v>439</v>
      </c>
      <c r="G368" t="s">
        <v>38</v>
      </c>
      <c r="H368" t="s">
        <v>339</v>
      </c>
      <c r="I368">
        <v>1</v>
      </c>
      <c r="J368" t="s">
        <v>205</v>
      </c>
    </row>
    <row r="369" spans="1:10" x14ac:dyDescent="0.3">
      <c r="A369" s="1">
        <v>42330</v>
      </c>
      <c r="B369" t="s">
        <v>0</v>
      </c>
      <c r="C369" t="s">
        <v>539</v>
      </c>
      <c r="D369" t="s">
        <v>1</v>
      </c>
      <c r="E369" t="s">
        <v>47</v>
      </c>
      <c r="F369" t="s">
        <v>439</v>
      </c>
      <c r="G369" t="s">
        <v>38</v>
      </c>
      <c r="H369" t="s">
        <v>343</v>
      </c>
      <c r="I369">
        <v>1</v>
      </c>
      <c r="J369" t="s">
        <v>16</v>
      </c>
    </row>
    <row r="370" spans="1:10" x14ac:dyDescent="0.3">
      <c r="A370" s="1">
        <v>42389</v>
      </c>
      <c r="B370" t="s">
        <v>0</v>
      </c>
      <c r="C370" t="s">
        <v>541</v>
      </c>
      <c r="D370" t="s">
        <v>219</v>
      </c>
      <c r="E370" t="s">
        <v>222</v>
      </c>
      <c r="F370" t="s">
        <v>542</v>
      </c>
      <c r="G370" t="s">
        <v>38</v>
      </c>
      <c r="H370" t="s">
        <v>466</v>
      </c>
      <c r="I370">
        <v>1</v>
      </c>
      <c r="J370" t="s">
        <v>57</v>
      </c>
    </row>
    <row r="371" spans="1:10" x14ac:dyDescent="0.3">
      <c r="A371" s="1">
        <v>42389</v>
      </c>
      <c r="B371" t="s">
        <v>0</v>
      </c>
      <c r="C371" t="s">
        <v>541</v>
      </c>
      <c r="D371" t="s">
        <v>219</v>
      </c>
      <c r="E371" t="s">
        <v>17</v>
      </c>
      <c r="F371" t="s">
        <v>542</v>
      </c>
      <c r="G371" t="s">
        <v>38</v>
      </c>
      <c r="H371" t="s">
        <v>525</v>
      </c>
      <c r="I371">
        <v>1</v>
      </c>
      <c r="J371" t="s">
        <v>50</v>
      </c>
    </row>
    <row r="372" spans="1:10" x14ac:dyDescent="0.3">
      <c r="A372" s="1">
        <v>42390</v>
      </c>
      <c r="B372" t="s">
        <v>0</v>
      </c>
      <c r="C372" t="s">
        <v>541</v>
      </c>
      <c r="D372" t="s">
        <v>219</v>
      </c>
      <c r="E372" t="s">
        <v>40</v>
      </c>
      <c r="F372" t="s">
        <v>542</v>
      </c>
      <c r="G372" t="s">
        <v>38</v>
      </c>
      <c r="H372" t="s">
        <v>210</v>
      </c>
      <c r="I372">
        <v>1</v>
      </c>
      <c r="J372" t="s">
        <v>242</v>
      </c>
    </row>
    <row r="373" spans="1:10" x14ac:dyDescent="0.3">
      <c r="A373" s="1">
        <v>42391</v>
      </c>
      <c r="B373" t="s">
        <v>0</v>
      </c>
      <c r="C373" t="s">
        <v>541</v>
      </c>
      <c r="D373" t="s">
        <v>219</v>
      </c>
      <c r="E373" t="s">
        <v>42</v>
      </c>
      <c r="F373" t="s">
        <v>542</v>
      </c>
      <c r="G373" t="s">
        <v>38</v>
      </c>
      <c r="H373" t="s">
        <v>79</v>
      </c>
      <c r="I373">
        <v>1</v>
      </c>
      <c r="J373" t="s">
        <v>269</v>
      </c>
    </row>
    <row r="374" spans="1:10" x14ac:dyDescent="0.3">
      <c r="A374" s="1">
        <v>42392</v>
      </c>
      <c r="B374" t="s">
        <v>0</v>
      </c>
      <c r="C374" t="s">
        <v>541</v>
      </c>
      <c r="D374" t="s">
        <v>219</v>
      </c>
      <c r="E374" t="s">
        <v>46</v>
      </c>
      <c r="F374" t="s">
        <v>542</v>
      </c>
      <c r="G374" t="s">
        <v>38</v>
      </c>
      <c r="H374" t="s">
        <v>65</v>
      </c>
      <c r="I374">
        <v>1</v>
      </c>
      <c r="J374" t="s">
        <v>95</v>
      </c>
    </row>
    <row r="375" spans="1:10" x14ac:dyDescent="0.3">
      <c r="A375" s="1">
        <v>42393</v>
      </c>
      <c r="B375" t="s">
        <v>0</v>
      </c>
      <c r="C375" t="s">
        <v>541</v>
      </c>
      <c r="D375" t="s">
        <v>219</v>
      </c>
      <c r="E375" t="s">
        <v>47</v>
      </c>
      <c r="F375" t="s">
        <v>542</v>
      </c>
      <c r="G375" t="s">
        <v>38</v>
      </c>
      <c r="H375" t="s">
        <v>260</v>
      </c>
      <c r="I375">
        <v>1</v>
      </c>
      <c r="J375" t="s">
        <v>152</v>
      </c>
    </row>
    <row r="376" spans="1:10" x14ac:dyDescent="0.3">
      <c r="A376" s="1">
        <v>42459</v>
      </c>
      <c r="B376" t="s">
        <v>0</v>
      </c>
      <c r="C376" t="s">
        <v>544</v>
      </c>
      <c r="D376" t="s">
        <v>1</v>
      </c>
      <c r="E376" t="s">
        <v>17</v>
      </c>
      <c r="F376" t="s">
        <v>378</v>
      </c>
      <c r="G376" t="s">
        <v>38</v>
      </c>
      <c r="H376" t="s">
        <v>422</v>
      </c>
      <c r="I376">
        <v>1</v>
      </c>
      <c r="J376" t="s">
        <v>246</v>
      </c>
    </row>
    <row r="377" spans="1:10" x14ac:dyDescent="0.3">
      <c r="A377" s="1">
        <v>42460</v>
      </c>
      <c r="B377" t="s">
        <v>0</v>
      </c>
      <c r="C377" t="s">
        <v>544</v>
      </c>
      <c r="D377" t="s">
        <v>1</v>
      </c>
      <c r="E377" t="s">
        <v>40</v>
      </c>
      <c r="F377" t="s">
        <v>378</v>
      </c>
      <c r="G377" t="s">
        <v>38</v>
      </c>
      <c r="H377" t="s">
        <v>389</v>
      </c>
      <c r="I377">
        <v>2</v>
      </c>
      <c r="J377" t="s">
        <v>75</v>
      </c>
    </row>
    <row r="378" spans="1:10" x14ac:dyDescent="0.3">
      <c r="A378" s="1">
        <v>42593</v>
      </c>
      <c r="B378" t="s">
        <v>0</v>
      </c>
      <c r="C378" t="s">
        <v>546</v>
      </c>
      <c r="D378" t="s">
        <v>425</v>
      </c>
      <c r="E378" t="s">
        <v>287</v>
      </c>
      <c r="F378" t="s">
        <v>547</v>
      </c>
      <c r="G378" t="s">
        <v>38</v>
      </c>
      <c r="H378" t="s">
        <v>548</v>
      </c>
      <c r="I378">
        <v>1</v>
      </c>
      <c r="J378" t="s">
        <v>258</v>
      </c>
    </row>
    <row r="379" spans="1:10" x14ac:dyDescent="0.3">
      <c r="A379" s="1">
        <v>42596</v>
      </c>
      <c r="B379" t="s">
        <v>0</v>
      </c>
      <c r="C379" t="s">
        <v>546</v>
      </c>
      <c r="D379" t="s">
        <v>425</v>
      </c>
      <c r="E379" t="s">
        <v>289</v>
      </c>
      <c r="F379" t="s">
        <v>547</v>
      </c>
      <c r="G379" t="s">
        <v>38</v>
      </c>
      <c r="H379" t="s">
        <v>210</v>
      </c>
      <c r="I379">
        <v>1</v>
      </c>
      <c r="J379" t="s">
        <v>148</v>
      </c>
    </row>
    <row r="380" spans="1:10" x14ac:dyDescent="0.3">
      <c r="A380" s="1">
        <v>42599</v>
      </c>
      <c r="B380" t="s">
        <v>0</v>
      </c>
      <c r="C380" t="s">
        <v>546</v>
      </c>
      <c r="D380" t="s">
        <v>425</v>
      </c>
      <c r="E380" t="s">
        <v>42</v>
      </c>
      <c r="F380" t="s">
        <v>547</v>
      </c>
      <c r="G380" t="s">
        <v>38</v>
      </c>
      <c r="H380" t="s">
        <v>226</v>
      </c>
      <c r="I380">
        <v>1</v>
      </c>
      <c r="J380" t="s">
        <v>115</v>
      </c>
    </row>
    <row r="381" spans="1:10" x14ac:dyDescent="0.3">
      <c r="A381" s="1">
        <v>42601</v>
      </c>
      <c r="B381" t="s">
        <v>0</v>
      </c>
      <c r="C381" t="s">
        <v>546</v>
      </c>
      <c r="D381" t="s">
        <v>425</v>
      </c>
      <c r="E381" t="s">
        <v>46</v>
      </c>
      <c r="F381" t="s">
        <v>547</v>
      </c>
      <c r="G381" t="s">
        <v>38</v>
      </c>
      <c r="H381" t="s">
        <v>29</v>
      </c>
      <c r="I381">
        <v>1</v>
      </c>
      <c r="J381" t="s">
        <v>549</v>
      </c>
    </row>
    <row r="382" spans="1:10" x14ac:dyDescent="0.3">
      <c r="A382" s="1">
        <v>42602</v>
      </c>
      <c r="B382" t="s">
        <v>0</v>
      </c>
      <c r="C382" t="s">
        <v>546</v>
      </c>
      <c r="D382" t="s">
        <v>425</v>
      </c>
      <c r="E382" t="s">
        <v>47</v>
      </c>
      <c r="F382" t="s">
        <v>547</v>
      </c>
      <c r="G382" t="s">
        <v>38</v>
      </c>
      <c r="H382" t="s">
        <v>253</v>
      </c>
      <c r="I382">
        <v>2</v>
      </c>
      <c r="J382" t="s">
        <v>112</v>
      </c>
    </row>
    <row r="383" spans="1:10" x14ac:dyDescent="0.3">
      <c r="A383" s="1">
        <v>42634</v>
      </c>
      <c r="B383" t="s">
        <v>0</v>
      </c>
      <c r="C383" t="s">
        <v>430</v>
      </c>
      <c r="D383" t="s">
        <v>1</v>
      </c>
      <c r="E383" t="s">
        <v>17</v>
      </c>
      <c r="F383" t="s">
        <v>348</v>
      </c>
      <c r="G383" t="s">
        <v>38</v>
      </c>
      <c r="H383" t="s">
        <v>23</v>
      </c>
      <c r="I383">
        <v>1</v>
      </c>
      <c r="J383" t="s">
        <v>44</v>
      </c>
    </row>
    <row r="384" spans="1:10" x14ac:dyDescent="0.3">
      <c r="A384" s="1">
        <v>42635</v>
      </c>
      <c r="B384" t="s">
        <v>0</v>
      </c>
      <c r="C384" t="s">
        <v>430</v>
      </c>
      <c r="D384" t="s">
        <v>1</v>
      </c>
      <c r="E384" t="s">
        <v>40</v>
      </c>
      <c r="F384" t="s">
        <v>348</v>
      </c>
      <c r="G384" t="s">
        <v>38</v>
      </c>
      <c r="H384" t="s">
        <v>345</v>
      </c>
      <c r="I384">
        <v>1</v>
      </c>
      <c r="J384" t="s">
        <v>268</v>
      </c>
    </row>
    <row r="385" spans="1:10" x14ac:dyDescent="0.3">
      <c r="A385" s="1">
        <v>42636</v>
      </c>
      <c r="B385" t="s">
        <v>0</v>
      </c>
      <c r="C385" t="s">
        <v>430</v>
      </c>
      <c r="D385" t="s">
        <v>1</v>
      </c>
      <c r="E385" t="s">
        <v>42</v>
      </c>
      <c r="F385" t="s">
        <v>348</v>
      </c>
      <c r="G385" t="s">
        <v>38</v>
      </c>
      <c r="H385" t="s">
        <v>497</v>
      </c>
      <c r="I385">
        <v>1</v>
      </c>
      <c r="J385" t="s">
        <v>126</v>
      </c>
    </row>
    <row r="386" spans="1:10" x14ac:dyDescent="0.3">
      <c r="A386" s="1">
        <v>42637</v>
      </c>
      <c r="B386" t="s">
        <v>0</v>
      </c>
      <c r="C386" t="s">
        <v>430</v>
      </c>
      <c r="D386" t="s">
        <v>1</v>
      </c>
      <c r="E386" t="s">
        <v>46</v>
      </c>
      <c r="F386" t="s">
        <v>348</v>
      </c>
      <c r="G386" t="s">
        <v>38</v>
      </c>
      <c r="H386" t="s">
        <v>158</v>
      </c>
      <c r="I386">
        <v>1</v>
      </c>
      <c r="J386" t="s">
        <v>57</v>
      </c>
    </row>
    <row r="387" spans="1:10" x14ac:dyDescent="0.3">
      <c r="A387" s="1">
        <v>42638</v>
      </c>
      <c r="B387" t="s">
        <v>0</v>
      </c>
      <c r="C387" t="s">
        <v>430</v>
      </c>
      <c r="D387" t="s">
        <v>1</v>
      </c>
      <c r="E387" t="s">
        <v>47</v>
      </c>
      <c r="F387" t="s">
        <v>348</v>
      </c>
      <c r="G387" t="s">
        <v>38</v>
      </c>
      <c r="H387" t="s">
        <v>149</v>
      </c>
      <c r="I387">
        <v>1</v>
      </c>
      <c r="J387" t="s">
        <v>551</v>
      </c>
    </row>
    <row r="388" spans="1:10" x14ac:dyDescent="0.3">
      <c r="A388" s="1">
        <v>42662</v>
      </c>
      <c r="B388" t="s">
        <v>0</v>
      </c>
      <c r="C388" t="s">
        <v>553</v>
      </c>
      <c r="D388" t="s">
        <v>286</v>
      </c>
      <c r="E388" t="s">
        <v>17</v>
      </c>
      <c r="F388" t="s">
        <v>402</v>
      </c>
      <c r="G388" t="s">
        <v>38</v>
      </c>
      <c r="H388" t="s">
        <v>389</v>
      </c>
      <c r="I388">
        <v>1</v>
      </c>
      <c r="J388" t="s">
        <v>554</v>
      </c>
    </row>
    <row r="389" spans="1:10" x14ac:dyDescent="0.3">
      <c r="A389" s="1">
        <v>42663</v>
      </c>
      <c r="B389" t="s">
        <v>0</v>
      </c>
      <c r="C389" t="s">
        <v>553</v>
      </c>
      <c r="D389" t="s">
        <v>286</v>
      </c>
      <c r="E389" t="s">
        <v>40</v>
      </c>
      <c r="F389" t="s">
        <v>402</v>
      </c>
      <c r="G389" t="s">
        <v>38</v>
      </c>
      <c r="H389" t="s">
        <v>363</v>
      </c>
      <c r="I389">
        <v>1</v>
      </c>
      <c r="J389" t="s">
        <v>187</v>
      </c>
    </row>
    <row r="390" spans="1:10" x14ac:dyDescent="0.3">
      <c r="A390" s="1">
        <v>42664</v>
      </c>
      <c r="B390" t="s">
        <v>0</v>
      </c>
      <c r="C390" t="s">
        <v>553</v>
      </c>
      <c r="D390" t="s">
        <v>286</v>
      </c>
      <c r="E390" t="s">
        <v>42</v>
      </c>
      <c r="F390" t="s">
        <v>402</v>
      </c>
      <c r="G390" t="s">
        <v>38</v>
      </c>
      <c r="H390" t="s">
        <v>155</v>
      </c>
      <c r="I390">
        <v>2</v>
      </c>
      <c r="J390" t="s">
        <v>523</v>
      </c>
    </row>
    <row r="391" spans="1:10" x14ac:dyDescent="0.3">
      <c r="A391" s="1">
        <v>42802</v>
      </c>
      <c r="B391" t="s">
        <v>0</v>
      </c>
      <c r="C391" t="s">
        <v>543</v>
      </c>
      <c r="D391" t="s">
        <v>286</v>
      </c>
      <c r="E391" t="s">
        <v>17</v>
      </c>
      <c r="F391" t="s">
        <v>374</v>
      </c>
      <c r="G391" t="s">
        <v>38</v>
      </c>
      <c r="H391" t="s">
        <v>155</v>
      </c>
      <c r="I391">
        <v>1</v>
      </c>
      <c r="J391" t="s">
        <v>70</v>
      </c>
    </row>
    <row r="392" spans="1:10" x14ac:dyDescent="0.3">
      <c r="A392" s="1">
        <v>42803</v>
      </c>
      <c r="B392" t="s">
        <v>0</v>
      </c>
      <c r="C392" t="s">
        <v>543</v>
      </c>
      <c r="D392" t="s">
        <v>286</v>
      </c>
      <c r="E392" t="s">
        <v>40</v>
      </c>
      <c r="F392" t="s">
        <v>374</v>
      </c>
      <c r="G392" t="s">
        <v>38</v>
      </c>
      <c r="H392" t="s">
        <v>429</v>
      </c>
      <c r="I392">
        <v>1</v>
      </c>
      <c r="J392" t="s">
        <v>200</v>
      </c>
    </row>
    <row r="393" spans="1:10" x14ac:dyDescent="0.3">
      <c r="A393" s="1">
        <v>42804</v>
      </c>
      <c r="B393" t="s">
        <v>0</v>
      </c>
      <c r="C393" t="s">
        <v>543</v>
      </c>
      <c r="D393" t="s">
        <v>286</v>
      </c>
      <c r="E393" t="s">
        <v>42</v>
      </c>
      <c r="F393" t="s">
        <v>374</v>
      </c>
      <c r="G393" t="s">
        <v>38</v>
      </c>
      <c r="H393" t="s">
        <v>343</v>
      </c>
      <c r="I393">
        <v>1</v>
      </c>
      <c r="J393" t="s">
        <v>273</v>
      </c>
    </row>
    <row r="394" spans="1:10" x14ac:dyDescent="0.3">
      <c r="A394" s="1">
        <v>42805</v>
      </c>
      <c r="B394" t="s">
        <v>0</v>
      </c>
      <c r="C394" t="s">
        <v>543</v>
      </c>
      <c r="D394" t="s">
        <v>286</v>
      </c>
      <c r="E394" t="s">
        <v>46</v>
      </c>
      <c r="F394" t="s">
        <v>374</v>
      </c>
      <c r="G394" t="s">
        <v>38</v>
      </c>
      <c r="H394" t="s">
        <v>226</v>
      </c>
      <c r="I394">
        <v>1</v>
      </c>
      <c r="J394" t="s">
        <v>556</v>
      </c>
    </row>
    <row r="395" spans="1:10" x14ac:dyDescent="0.3">
      <c r="A395" s="1">
        <v>42806</v>
      </c>
      <c r="B395" t="s">
        <v>0</v>
      </c>
      <c r="C395" t="s">
        <v>543</v>
      </c>
      <c r="D395" t="s">
        <v>286</v>
      </c>
      <c r="E395" t="s">
        <v>47</v>
      </c>
      <c r="F395" t="s">
        <v>374</v>
      </c>
      <c r="G395" t="s">
        <v>38</v>
      </c>
      <c r="H395" t="s">
        <v>497</v>
      </c>
      <c r="I395">
        <v>1</v>
      </c>
      <c r="J395" t="s">
        <v>247</v>
      </c>
    </row>
    <row r="396" spans="1:10" x14ac:dyDescent="0.3">
      <c r="A396" s="1">
        <v>42830</v>
      </c>
      <c r="B396" t="s">
        <v>0</v>
      </c>
      <c r="C396" t="s">
        <v>545</v>
      </c>
      <c r="D396" t="s">
        <v>286</v>
      </c>
      <c r="E396" t="s">
        <v>17</v>
      </c>
      <c r="F396" t="s">
        <v>557</v>
      </c>
      <c r="G396" t="s">
        <v>38</v>
      </c>
      <c r="H396" t="s">
        <v>62</v>
      </c>
      <c r="I396">
        <v>1</v>
      </c>
      <c r="J396" t="s">
        <v>102</v>
      </c>
    </row>
    <row r="397" spans="1:10" x14ac:dyDescent="0.3">
      <c r="A397" s="1">
        <v>42831</v>
      </c>
      <c r="B397" t="s">
        <v>0</v>
      </c>
      <c r="C397" t="s">
        <v>545</v>
      </c>
      <c r="D397" t="s">
        <v>286</v>
      </c>
      <c r="E397" t="s">
        <v>40</v>
      </c>
      <c r="F397" t="s">
        <v>557</v>
      </c>
      <c r="G397" t="s">
        <v>38</v>
      </c>
      <c r="H397" t="s">
        <v>220</v>
      </c>
      <c r="I397">
        <v>1</v>
      </c>
      <c r="J397" t="s">
        <v>182</v>
      </c>
    </row>
    <row r="398" spans="1:10" x14ac:dyDescent="0.3">
      <c r="A398" s="1">
        <v>42832</v>
      </c>
      <c r="B398" t="s">
        <v>0</v>
      </c>
      <c r="C398" t="s">
        <v>545</v>
      </c>
      <c r="D398" t="s">
        <v>286</v>
      </c>
      <c r="E398" t="s">
        <v>42</v>
      </c>
      <c r="F398" t="s">
        <v>557</v>
      </c>
      <c r="G398" t="s">
        <v>38</v>
      </c>
      <c r="H398" t="s">
        <v>484</v>
      </c>
      <c r="I398">
        <v>1</v>
      </c>
      <c r="J398" t="s">
        <v>211</v>
      </c>
    </row>
    <row r="399" spans="1:10" x14ac:dyDescent="0.3">
      <c r="A399" s="1">
        <v>42833</v>
      </c>
      <c r="B399" t="s">
        <v>0</v>
      </c>
      <c r="C399" t="s">
        <v>545</v>
      </c>
      <c r="D399" t="s">
        <v>286</v>
      </c>
      <c r="E399" t="s">
        <v>46</v>
      </c>
      <c r="F399" t="s">
        <v>557</v>
      </c>
      <c r="G399" t="s">
        <v>38</v>
      </c>
      <c r="H399" t="s">
        <v>169</v>
      </c>
      <c r="I399">
        <v>1</v>
      </c>
      <c r="J399" t="s">
        <v>421</v>
      </c>
    </row>
    <row r="400" spans="1:10" x14ac:dyDescent="0.3">
      <c r="A400" s="1">
        <v>42834</v>
      </c>
      <c r="B400" t="s">
        <v>0</v>
      </c>
      <c r="C400" t="s">
        <v>545</v>
      </c>
      <c r="D400" t="s">
        <v>286</v>
      </c>
      <c r="E400" t="s">
        <v>47</v>
      </c>
      <c r="F400" t="s">
        <v>557</v>
      </c>
      <c r="G400" t="s">
        <v>38</v>
      </c>
      <c r="H400" t="s">
        <v>29</v>
      </c>
      <c r="I400">
        <v>2</v>
      </c>
      <c r="J400" t="s">
        <v>170</v>
      </c>
    </row>
    <row r="401" spans="1:10" x14ac:dyDescent="0.3">
      <c r="A401" s="1">
        <v>42900</v>
      </c>
      <c r="B401" t="s">
        <v>0</v>
      </c>
      <c r="C401" t="s">
        <v>526</v>
      </c>
      <c r="D401" t="s">
        <v>286</v>
      </c>
      <c r="E401" t="s">
        <v>17</v>
      </c>
      <c r="F401" t="s">
        <v>322</v>
      </c>
      <c r="G401" t="s">
        <v>38</v>
      </c>
      <c r="H401" t="s">
        <v>65</v>
      </c>
      <c r="I401">
        <v>1</v>
      </c>
      <c r="J401" t="s">
        <v>491</v>
      </c>
    </row>
    <row r="402" spans="1:10" x14ac:dyDescent="0.3">
      <c r="A402" s="1">
        <v>42901</v>
      </c>
      <c r="B402" t="s">
        <v>0</v>
      </c>
      <c r="C402" t="s">
        <v>526</v>
      </c>
      <c r="D402" t="s">
        <v>286</v>
      </c>
      <c r="E402" t="s">
        <v>40</v>
      </c>
      <c r="F402" t="s">
        <v>322</v>
      </c>
      <c r="G402" t="s">
        <v>38</v>
      </c>
      <c r="H402" t="s">
        <v>363</v>
      </c>
      <c r="I402">
        <v>2</v>
      </c>
      <c r="J402" t="s">
        <v>14</v>
      </c>
    </row>
    <row r="403" spans="1:10" x14ac:dyDescent="0.3">
      <c r="A403" s="1">
        <v>43000</v>
      </c>
      <c r="B403" t="s">
        <v>0</v>
      </c>
      <c r="C403" t="s">
        <v>558</v>
      </c>
      <c r="D403" t="s">
        <v>1</v>
      </c>
      <c r="E403" t="s">
        <v>42</v>
      </c>
      <c r="F403" t="s">
        <v>348</v>
      </c>
      <c r="G403" t="s">
        <v>38</v>
      </c>
      <c r="H403" t="s">
        <v>226</v>
      </c>
      <c r="I403">
        <v>1</v>
      </c>
      <c r="J403" t="s">
        <v>380</v>
      </c>
    </row>
    <row r="404" spans="1:10" x14ac:dyDescent="0.3">
      <c r="A404" s="1">
        <v>43001</v>
      </c>
      <c r="B404" t="s">
        <v>0</v>
      </c>
      <c r="C404" t="s">
        <v>558</v>
      </c>
      <c r="D404" t="s">
        <v>1</v>
      </c>
      <c r="E404" t="s">
        <v>46</v>
      </c>
      <c r="F404" t="s">
        <v>348</v>
      </c>
      <c r="G404" t="s">
        <v>38</v>
      </c>
      <c r="H404" t="s">
        <v>497</v>
      </c>
      <c r="I404">
        <v>1</v>
      </c>
      <c r="J404" t="s">
        <v>239</v>
      </c>
    </row>
    <row r="405" spans="1:10" x14ac:dyDescent="0.3">
      <c r="A405" s="1">
        <v>43026</v>
      </c>
      <c r="B405" t="s">
        <v>0</v>
      </c>
      <c r="C405" t="s">
        <v>559</v>
      </c>
      <c r="D405" t="s">
        <v>286</v>
      </c>
      <c r="E405" t="s">
        <v>17</v>
      </c>
      <c r="F405" t="s">
        <v>402</v>
      </c>
      <c r="G405" t="s">
        <v>38</v>
      </c>
      <c r="H405" t="s">
        <v>195</v>
      </c>
      <c r="I405">
        <v>1</v>
      </c>
      <c r="J405" t="s">
        <v>160</v>
      </c>
    </row>
    <row r="406" spans="1:10" x14ac:dyDescent="0.3">
      <c r="A406" s="1">
        <v>43027</v>
      </c>
      <c r="B406" t="s">
        <v>0</v>
      </c>
      <c r="C406" t="s">
        <v>559</v>
      </c>
      <c r="D406" t="s">
        <v>286</v>
      </c>
      <c r="E406" t="s">
        <v>40</v>
      </c>
      <c r="F406" t="s">
        <v>402</v>
      </c>
      <c r="G406" t="s">
        <v>38</v>
      </c>
      <c r="H406" t="s">
        <v>363</v>
      </c>
      <c r="I406">
        <v>2</v>
      </c>
      <c r="J406" t="s">
        <v>464</v>
      </c>
    </row>
    <row r="407" spans="1:10" x14ac:dyDescent="0.3">
      <c r="A407" s="1">
        <v>43033</v>
      </c>
      <c r="B407" t="s">
        <v>0</v>
      </c>
      <c r="C407" t="s">
        <v>555</v>
      </c>
      <c r="D407" t="s">
        <v>1</v>
      </c>
      <c r="E407" t="s">
        <v>17</v>
      </c>
      <c r="F407" t="s">
        <v>354</v>
      </c>
      <c r="G407" t="s">
        <v>38</v>
      </c>
      <c r="H407" t="s">
        <v>490</v>
      </c>
      <c r="I407">
        <v>2</v>
      </c>
      <c r="J407" t="s">
        <v>96</v>
      </c>
    </row>
    <row r="408" spans="1:10" x14ac:dyDescent="0.3">
      <c r="A408" s="1">
        <v>43054</v>
      </c>
      <c r="B408" t="s">
        <v>0</v>
      </c>
      <c r="C408" t="s">
        <v>560</v>
      </c>
      <c r="D408" t="s">
        <v>286</v>
      </c>
      <c r="E408" t="s">
        <v>17</v>
      </c>
      <c r="F408" t="s">
        <v>521</v>
      </c>
      <c r="G408" t="s">
        <v>38</v>
      </c>
      <c r="H408" t="s">
        <v>224</v>
      </c>
      <c r="I408">
        <v>1</v>
      </c>
      <c r="J408" t="s">
        <v>194</v>
      </c>
    </row>
    <row r="409" spans="1:10" x14ac:dyDescent="0.3">
      <c r="A409" s="1">
        <v>43055</v>
      </c>
      <c r="B409" t="s">
        <v>0</v>
      </c>
      <c r="C409" t="s">
        <v>560</v>
      </c>
      <c r="D409" t="s">
        <v>286</v>
      </c>
      <c r="E409" t="s">
        <v>40</v>
      </c>
      <c r="F409" t="s">
        <v>521</v>
      </c>
      <c r="G409" t="s">
        <v>38</v>
      </c>
      <c r="H409" t="s">
        <v>155</v>
      </c>
      <c r="I409">
        <v>1</v>
      </c>
      <c r="J409" t="s">
        <v>277</v>
      </c>
    </row>
    <row r="410" spans="1:10" x14ac:dyDescent="0.3">
      <c r="A410" s="1">
        <v>43063</v>
      </c>
      <c r="B410" t="s">
        <v>0</v>
      </c>
      <c r="C410" t="s">
        <v>539</v>
      </c>
      <c r="D410" t="s">
        <v>1</v>
      </c>
      <c r="E410" t="s">
        <v>42</v>
      </c>
      <c r="F410" t="s">
        <v>439</v>
      </c>
      <c r="G410" t="s">
        <v>38</v>
      </c>
      <c r="H410" t="s">
        <v>51</v>
      </c>
      <c r="I410">
        <v>1</v>
      </c>
      <c r="J410" t="s">
        <v>266</v>
      </c>
    </row>
    <row r="411" spans="1:10" x14ac:dyDescent="0.3">
      <c r="A411" s="1">
        <v>43082</v>
      </c>
      <c r="B411" t="s">
        <v>0</v>
      </c>
      <c r="C411" t="s">
        <v>561</v>
      </c>
      <c r="D411" t="s">
        <v>286</v>
      </c>
      <c r="E411" t="s">
        <v>287</v>
      </c>
      <c r="F411" t="s">
        <v>540</v>
      </c>
      <c r="G411" t="s">
        <v>38</v>
      </c>
      <c r="H411" t="s">
        <v>339</v>
      </c>
      <c r="I411">
        <v>1</v>
      </c>
      <c r="J411" t="s">
        <v>44</v>
      </c>
    </row>
    <row r="412" spans="1:10" x14ac:dyDescent="0.3">
      <c r="A412" s="1">
        <v>43277</v>
      </c>
      <c r="B412" t="s">
        <v>0</v>
      </c>
      <c r="C412" t="s">
        <v>563</v>
      </c>
      <c r="D412" t="s">
        <v>564</v>
      </c>
      <c r="E412" t="s">
        <v>17</v>
      </c>
      <c r="F412" t="s">
        <v>367</v>
      </c>
      <c r="G412" t="s">
        <v>38</v>
      </c>
      <c r="H412" t="s">
        <v>422</v>
      </c>
      <c r="I412">
        <v>1</v>
      </c>
      <c r="J412" t="s">
        <v>41</v>
      </c>
    </row>
    <row r="413" spans="1:10" x14ac:dyDescent="0.3">
      <c r="A413" s="1">
        <v>43279</v>
      </c>
      <c r="B413" t="s">
        <v>0</v>
      </c>
      <c r="C413" t="s">
        <v>563</v>
      </c>
      <c r="D413" t="s">
        <v>564</v>
      </c>
      <c r="E413" t="s">
        <v>40</v>
      </c>
      <c r="F413" t="s">
        <v>367</v>
      </c>
      <c r="G413" t="s">
        <v>38</v>
      </c>
      <c r="H413" t="s">
        <v>54</v>
      </c>
      <c r="I413">
        <v>1</v>
      </c>
      <c r="J413" t="s">
        <v>263</v>
      </c>
    </row>
    <row r="414" spans="1:10" x14ac:dyDescent="0.3">
      <c r="A414" s="1">
        <v>43281</v>
      </c>
      <c r="B414" t="s">
        <v>0</v>
      </c>
      <c r="C414" t="s">
        <v>563</v>
      </c>
      <c r="D414" t="s">
        <v>564</v>
      </c>
      <c r="E414" t="s">
        <v>46</v>
      </c>
      <c r="F414" t="s">
        <v>367</v>
      </c>
      <c r="G414" t="s">
        <v>38</v>
      </c>
      <c r="H414" t="s">
        <v>65</v>
      </c>
      <c r="I414">
        <v>1</v>
      </c>
      <c r="J414" t="s">
        <v>58</v>
      </c>
    </row>
    <row r="415" spans="1:10" x14ac:dyDescent="0.3">
      <c r="A415" s="1">
        <v>43282</v>
      </c>
      <c r="B415" t="s">
        <v>0</v>
      </c>
      <c r="C415" t="s">
        <v>563</v>
      </c>
      <c r="D415" t="s">
        <v>564</v>
      </c>
      <c r="E415" t="s">
        <v>47</v>
      </c>
      <c r="F415" t="s">
        <v>367</v>
      </c>
      <c r="G415" t="s">
        <v>38</v>
      </c>
      <c r="H415" t="s">
        <v>405</v>
      </c>
      <c r="I415">
        <v>1</v>
      </c>
      <c r="J415" t="s">
        <v>463</v>
      </c>
    </row>
    <row r="416" spans="1:10" x14ac:dyDescent="0.3">
      <c r="A416" s="1">
        <v>43287</v>
      </c>
      <c r="B416" t="s">
        <v>0</v>
      </c>
      <c r="C416" t="s">
        <v>565</v>
      </c>
      <c r="D416" t="s">
        <v>562</v>
      </c>
      <c r="E416" t="s">
        <v>42</v>
      </c>
      <c r="F416" t="s">
        <v>322</v>
      </c>
      <c r="G416" t="s">
        <v>38</v>
      </c>
      <c r="H416" t="s">
        <v>515</v>
      </c>
      <c r="I416">
        <v>1</v>
      </c>
      <c r="J416" t="s">
        <v>324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83D7C6-CCAD-4020-A239-0F4D3484644C}">
  <dimension ref="A1:P418"/>
  <sheetViews>
    <sheetView tabSelected="1" workbookViewId="0">
      <selection activeCell="J1" sqref="J1"/>
    </sheetView>
  </sheetViews>
  <sheetFormatPr defaultRowHeight="14.4" x14ac:dyDescent="0.3"/>
  <cols>
    <col min="1" max="1" width="8.77734375" bestFit="1" customWidth="1"/>
    <col min="2" max="2" width="10.5546875" bestFit="1" customWidth="1"/>
    <col min="3" max="4" width="10.5546875" customWidth="1"/>
    <col min="5" max="5" width="5" bestFit="1" customWidth="1"/>
    <col min="6" max="6" width="57" bestFit="1" customWidth="1"/>
    <col min="7" max="7" width="30.6640625" bestFit="1" customWidth="1"/>
    <col min="8" max="8" width="10.6640625" bestFit="1" customWidth="1"/>
    <col min="9" max="9" width="25" bestFit="1" customWidth="1"/>
    <col min="10" max="10" width="13.21875" bestFit="1" customWidth="1"/>
    <col min="11" max="11" width="29.21875" bestFit="1" customWidth="1"/>
    <col min="12" max="12" width="22.77734375" bestFit="1" customWidth="1"/>
    <col min="13" max="13" width="16" bestFit="1" customWidth="1"/>
    <col min="14" max="16" width="11.109375" bestFit="1" customWidth="1"/>
  </cols>
  <sheetData>
    <row r="1" spans="1:16" x14ac:dyDescent="0.3">
      <c r="A1" t="s">
        <v>578</v>
      </c>
      <c r="B1" t="s">
        <v>577</v>
      </c>
      <c r="C1" t="s">
        <v>1026</v>
      </c>
      <c r="D1" t="s">
        <v>1025</v>
      </c>
      <c r="E1" t="s">
        <v>994</v>
      </c>
      <c r="F1" t="s">
        <v>569</v>
      </c>
      <c r="G1" t="s">
        <v>570</v>
      </c>
      <c r="H1" t="s">
        <v>571</v>
      </c>
      <c r="I1" t="s">
        <v>572</v>
      </c>
      <c r="J1" t="s">
        <v>573</v>
      </c>
      <c r="K1" t="s">
        <v>574</v>
      </c>
      <c r="L1" t="s">
        <v>575</v>
      </c>
      <c r="M1" t="s">
        <v>1024</v>
      </c>
      <c r="N1" t="s">
        <v>995</v>
      </c>
      <c r="O1" t="s">
        <v>996</v>
      </c>
      <c r="P1" t="s">
        <v>997</v>
      </c>
    </row>
    <row r="2" spans="1:16" x14ac:dyDescent="0.3">
      <c r="A2" t="s">
        <v>579</v>
      </c>
      <c r="B2" s="1">
        <v>39155</v>
      </c>
      <c r="C2" s="1" t="str">
        <f>TEXT(B2,"dddd")</f>
        <v>Wednesday</v>
      </c>
      <c r="D2" s="1" t="str">
        <f>TEXT(B2,"mmmm")</f>
        <v>March</v>
      </c>
      <c r="E2">
        <f>YEAR(B2)</f>
        <v>2007</v>
      </c>
      <c r="F2" t="s">
        <v>76</v>
      </c>
      <c r="G2" t="s">
        <v>1</v>
      </c>
      <c r="H2" t="s">
        <v>17</v>
      </c>
      <c r="I2" t="s">
        <v>77</v>
      </c>
      <c r="J2" t="s">
        <v>38</v>
      </c>
      <c r="K2" t="s">
        <v>24</v>
      </c>
      <c r="L2" t="s">
        <v>24</v>
      </c>
      <c r="M2" t="str">
        <f>IF(L2=J2,"Win","Loss")</f>
        <v>Loss</v>
      </c>
      <c r="N2" t="s">
        <v>409</v>
      </c>
      <c r="O2" t="s">
        <v>998</v>
      </c>
      <c r="P2" t="s">
        <v>409</v>
      </c>
    </row>
    <row r="3" spans="1:16" x14ac:dyDescent="0.3">
      <c r="A3" t="s">
        <v>580</v>
      </c>
      <c r="B3" s="1">
        <v>39204</v>
      </c>
      <c r="C3" s="1" t="str">
        <f t="shared" ref="C3:C66" si="0">TEXT(B3,"dddd")</f>
        <v>Wednesday</v>
      </c>
      <c r="D3" s="1" t="str">
        <f t="shared" ref="D3:D66" si="1">TEXT(B3,"mmmm")</f>
        <v>May</v>
      </c>
      <c r="E3">
        <f t="shared" ref="E3:E66" si="2">YEAR(B3)</f>
        <v>2007</v>
      </c>
      <c r="F3" t="s">
        <v>91</v>
      </c>
      <c r="G3" t="s">
        <v>1</v>
      </c>
      <c r="H3" t="s">
        <v>17</v>
      </c>
      <c r="I3" t="s">
        <v>92</v>
      </c>
      <c r="J3" t="s">
        <v>38</v>
      </c>
      <c r="K3" t="s">
        <v>32</v>
      </c>
      <c r="L3" t="s">
        <v>32</v>
      </c>
      <c r="M3" t="str">
        <f t="shared" ref="M3:M66" si="3">IF(L3=J3,"Win","Loss")</f>
        <v>Loss</v>
      </c>
      <c r="N3" t="s">
        <v>550</v>
      </c>
      <c r="O3" t="s">
        <v>999</v>
      </c>
      <c r="P3" t="s">
        <v>1000</v>
      </c>
    </row>
    <row r="4" spans="1:16" x14ac:dyDescent="0.3">
      <c r="A4" t="s">
        <v>581</v>
      </c>
      <c r="B4" s="1">
        <v>39211</v>
      </c>
      <c r="C4" s="1" t="str">
        <f t="shared" si="0"/>
        <v>Wednesday</v>
      </c>
      <c r="D4" s="1" t="str">
        <f t="shared" si="1"/>
        <v>May</v>
      </c>
      <c r="E4">
        <f t="shared" si="2"/>
        <v>2007</v>
      </c>
      <c r="F4" t="s">
        <v>106</v>
      </c>
      <c r="G4" t="s">
        <v>1</v>
      </c>
      <c r="H4" t="s">
        <v>17</v>
      </c>
      <c r="I4" t="s">
        <v>107</v>
      </c>
      <c r="J4" t="s">
        <v>38</v>
      </c>
      <c r="K4" t="s">
        <v>36</v>
      </c>
      <c r="L4" t="s">
        <v>38</v>
      </c>
      <c r="M4" t="str">
        <f t="shared" si="3"/>
        <v>Win</v>
      </c>
      <c r="N4" t="s">
        <v>550</v>
      </c>
      <c r="O4" t="s">
        <v>1001</v>
      </c>
      <c r="P4" t="s">
        <v>1001</v>
      </c>
    </row>
    <row r="5" spans="1:16" x14ac:dyDescent="0.3">
      <c r="A5" t="s">
        <v>587</v>
      </c>
      <c r="B5" s="1">
        <v>39212</v>
      </c>
      <c r="C5" s="1" t="str">
        <f t="shared" si="0"/>
        <v>Thursday</v>
      </c>
      <c r="D5" s="1" t="str">
        <f t="shared" si="1"/>
        <v>May</v>
      </c>
      <c r="E5">
        <f t="shared" si="2"/>
        <v>2007</v>
      </c>
      <c r="F5" t="s">
        <v>106</v>
      </c>
      <c r="G5" t="s">
        <v>1</v>
      </c>
      <c r="H5" t="s">
        <v>40</v>
      </c>
      <c r="I5" t="s">
        <v>107</v>
      </c>
      <c r="J5" t="s">
        <v>38</v>
      </c>
      <c r="K5" t="s">
        <v>68</v>
      </c>
      <c r="L5" t="s">
        <v>38</v>
      </c>
      <c r="M5" t="str">
        <f t="shared" si="3"/>
        <v>Win</v>
      </c>
      <c r="N5" t="s">
        <v>524</v>
      </c>
      <c r="O5" t="s">
        <v>552</v>
      </c>
      <c r="P5" t="s">
        <v>1002</v>
      </c>
    </row>
    <row r="6" spans="1:16" x14ac:dyDescent="0.3">
      <c r="A6" t="s">
        <v>582</v>
      </c>
      <c r="B6" s="1">
        <v>39214</v>
      </c>
      <c r="C6" s="1" t="str">
        <f t="shared" si="0"/>
        <v>Saturday</v>
      </c>
      <c r="D6" s="1" t="str">
        <f t="shared" si="1"/>
        <v>May</v>
      </c>
      <c r="E6">
        <f t="shared" si="2"/>
        <v>2007</v>
      </c>
      <c r="F6" t="s">
        <v>106</v>
      </c>
      <c r="G6" t="s">
        <v>1</v>
      </c>
      <c r="H6" t="s">
        <v>46</v>
      </c>
      <c r="I6" t="s">
        <v>107</v>
      </c>
      <c r="J6" t="s">
        <v>38</v>
      </c>
      <c r="K6" t="s">
        <v>33</v>
      </c>
      <c r="L6" t="s">
        <v>38</v>
      </c>
      <c r="M6" t="str">
        <f t="shared" si="3"/>
        <v>Win</v>
      </c>
      <c r="N6" t="s">
        <v>1003</v>
      </c>
      <c r="O6" t="s">
        <v>1001</v>
      </c>
      <c r="P6" t="s">
        <v>1001</v>
      </c>
    </row>
    <row r="7" spans="1:16" x14ac:dyDescent="0.3">
      <c r="A7" t="s">
        <v>583</v>
      </c>
      <c r="B7" s="1">
        <v>39215</v>
      </c>
      <c r="C7" s="1" t="str">
        <f t="shared" si="0"/>
        <v>Sunday</v>
      </c>
      <c r="D7" s="1" t="str">
        <f t="shared" si="1"/>
        <v>May</v>
      </c>
      <c r="E7">
        <f t="shared" si="2"/>
        <v>2007</v>
      </c>
      <c r="F7" t="s">
        <v>106</v>
      </c>
      <c r="G7" t="s">
        <v>1</v>
      </c>
      <c r="H7" t="s">
        <v>47</v>
      </c>
      <c r="I7" t="s">
        <v>107</v>
      </c>
      <c r="J7" t="s">
        <v>38</v>
      </c>
      <c r="K7" t="s">
        <v>39</v>
      </c>
      <c r="L7" t="s">
        <v>38</v>
      </c>
      <c r="M7" t="str">
        <f t="shared" si="3"/>
        <v>Win</v>
      </c>
      <c r="N7" t="s">
        <v>1002</v>
      </c>
      <c r="O7" t="s">
        <v>1001</v>
      </c>
      <c r="P7" t="s">
        <v>1001</v>
      </c>
    </row>
    <row r="8" spans="1:16" x14ac:dyDescent="0.3">
      <c r="A8" t="s">
        <v>584</v>
      </c>
      <c r="B8" s="1">
        <v>39274</v>
      </c>
      <c r="C8" s="1" t="str">
        <f t="shared" si="0"/>
        <v>Wednesday</v>
      </c>
      <c r="D8" s="1" t="str">
        <f t="shared" si="1"/>
        <v>July</v>
      </c>
      <c r="E8">
        <f t="shared" si="2"/>
        <v>2007</v>
      </c>
      <c r="F8" t="s">
        <v>117</v>
      </c>
      <c r="G8" t="s">
        <v>1</v>
      </c>
      <c r="H8" t="s">
        <v>17</v>
      </c>
      <c r="I8" t="s">
        <v>118</v>
      </c>
      <c r="J8" t="s">
        <v>38</v>
      </c>
      <c r="K8" t="s">
        <v>25</v>
      </c>
      <c r="L8" t="s">
        <v>38</v>
      </c>
      <c r="M8" t="str">
        <f t="shared" si="3"/>
        <v>Win</v>
      </c>
      <c r="N8" t="s">
        <v>1004</v>
      </c>
      <c r="O8" t="s">
        <v>1001</v>
      </c>
      <c r="P8" t="s">
        <v>1001</v>
      </c>
    </row>
    <row r="9" spans="1:16" x14ac:dyDescent="0.3">
      <c r="A9" t="s">
        <v>585</v>
      </c>
      <c r="B9" s="1">
        <v>39275</v>
      </c>
      <c r="C9" s="1" t="str">
        <f t="shared" si="0"/>
        <v>Thursday</v>
      </c>
      <c r="D9" s="1" t="str">
        <f t="shared" si="1"/>
        <v>July</v>
      </c>
      <c r="E9">
        <f t="shared" si="2"/>
        <v>2007</v>
      </c>
      <c r="F9" t="s">
        <v>117</v>
      </c>
      <c r="G9" t="s">
        <v>1</v>
      </c>
      <c r="H9" t="s">
        <v>40</v>
      </c>
      <c r="I9" t="s">
        <v>118</v>
      </c>
      <c r="J9" t="s">
        <v>38</v>
      </c>
      <c r="K9" t="s">
        <v>73</v>
      </c>
      <c r="L9" t="s">
        <v>38</v>
      </c>
      <c r="M9" t="str">
        <f t="shared" si="3"/>
        <v>Win</v>
      </c>
      <c r="N9" t="s">
        <v>1002</v>
      </c>
      <c r="O9" t="s">
        <v>1001</v>
      </c>
      <c r="P9" t="s">
        <v>1001</v>
      </c>
    </row>
    <row r="10" spans="1:16" x14ac:dyDescent="0.3">
      <c r="A10" t="s">
        <v>586</v>
      </c>
      <c r="B10" s="1">
        <v>39276</v>
      </c>
      <c r="C10" s="1" t="str">
        <f t="shared" si="0"/>
        <v>Friday</v>
      </c>
      <c r="D10" s="1" t="str">
        <f t="shared" si="1"/>
        <v>July</v>
      </c>
      <c r="E10">
        <f t="shared" si="2"/>
        <v>2007</v>
      </c>
      <c r="F10" t="s">
        <v>117</v>
      </c>
      <c r="G10" t="s">
        <v>1</v>
      </c>
      <c r="H10" t="s">
        <v>42</v>
      </c>
      <c r="I10" t="s">
        <v>118</v>
      </c>
      <c r="J10" t="s">
        <v>38</v>
      </c>
      <c r="K10" t="s">
        <v>30</v>
      </c>
      <c r="L10" t="s">
        <v>38</v>
      </c>
      <c r="M10" t="str">
        <f t="shared" si="3"/>
        <v>Win</v>
      </c>
      <c r="N10" t="s">
        <v>522</v>
      </c>
      <c r="O10" t="s">
        <v>1000</v>
      </c>
      <c r="P10" t="s">
        <v>524</v>
      </c>
    </row>
    <row r="11" spans="1:16" x14ac:dyDescent="0.3">
      <c r="A11" t="s">
        <v>588</v>
      </c>
      <c r="B11" s="1">
        <v>39337</v>
      </c>
      <c r="C11" s="1" t="str">
        <f t="shared" si="0"/>
        <v>Wednesday</v>
      </c>
      <c r="D11" s="1" t="str">
        <f t="shared" si="1"/>
        <v>September</v>
      </c>
      <c r="E11">
        <f t="shared" si="2"/>
        <v>2007</v>
      </c>
      <c r="F11" t="s">
        <v>133</v>
      </c>
      <c r="G11" t="s">
        <v>1</v>
      </c>
      <c r="H11" t="s">
        <v>17</v>
      </c>
      <c r="I11" t="s">
        <v>134</v>
      </c>
      <c r="J11" t="s">
        <v>38</v>
      </c>
      <c r="K11" t="s">
        <v>32</v>
      </c>
      <c r="L11" t="s">
        <v>38</v>
      </c>
      <c r="M11" t="str">
        <f t="shared" si="3"/>
        <v>Win</v>
      </c>
      <c r="N11" t="s">
        <v>522</v>
      </c>
      <c r="O11" t="s">
        <v>1001</v>
      </c>
      <c r="P11" t="s">
        <v>1001</v>
      </c>
    </row>
    <row r="12" spans="1:16" x14ac:dyDescent="0.3">
      <c r="A12" t="s">
        <v>589</v>
      </c>
      <c r="B12" s="1">
        <v>39338</v>
      </c>
      <c r="C12" s="1" t="str">
        <f t="shared" si="0"/>
        <v>Thursday</v>
      </c>
      <c r="D12" s="1" t="str">
        <f t="shared" si="1"/>
        <v>September</v>
      </c>
      <c r="E12">
        <f t="shared" si="2"/>
        <v>2007</v>
      </c>
      <c r="F12" t="s">
        <v>133</v>
      </c>
      <c r="G12" t="s">
        <v>1</v>
      </c>
      <c r="H12" t="s">
        <v>40</v>
      </c>
      <c r="I12" t="s">
        <v>134</v>
      </c>
      <c r="J12" t="s">
        <v>38</v>
      </c>
      <c r="K12" t="s">
        <v>24</v>
      </c>
      <c r="L12" t="s">
        <v>38</v>
      </c>
      <c r="M12" t="str">
        <f t="shared" si="3"/>
        <v>Win</v>
      </c>
      <c r="N12" t="s">
        <v>409</v>
      </c>
      <c r="O12" t="s">
        <v>1004</v>
      </c>
      <c r="P12" t="s">
        <v>1005</v>
      </c>
    </row>
    <row r="13" spans="1:16" x14ac:dyDescent="0.3">
      <c r="A13" t="s">
        <v>590</v>
      </c>
      <c r="B13" s="1">
        <v>39339</v>
      </c>
      <c r="C13" s="1" t="str">
        <f t="shared" si="0"/>
        <v>Friday</v>
      </c>
      <c r="D13" s="1" t="str">
        <f t="shared" si="1"/>
        <v>September</v>
      </c>
      <c r="E13">
        <f t="shared" si="2"/>
        <v>2007</v>
      </c>
      <c r="F13" t="s">
        <v>133</v>
      </c>
      <c r="G13" t="s">
        <v>1</v>
      </c>
      <c r="H13" t="s">
        <v>42</v>
      </c>
      <c r="I13" t="s">
        <v>134</v>
      </c>
      <c r="J13" t="s">
        <v>38</v>
      </c>
      <c r="K13" t="s">
        <v>28</v>
      </c>
      <c r="L13" t="s">
        <v>38</v>
      </c>
      <c r="M13" t="str">
        <f t="shared" si="3"/>
        <v>Win</v>
      </c>
      <c r="N13" t="s">
        <v>1006</v>
      </c>
      <c r="O13" t="s">
        <v>1001</v>
      </c>
      <c r="P13" t="s">
        <v>1001</v>
      </c>
    </row>
    <row r="14" spans="1:16" x14ac:dyDescent="0.3">
      <c r="A14" t="s">
        <v>591</v>
      </c>
      <c r="B14" s="1">
        <v>39341</v>
      </c>
      <c r="C14" s="1" t="str">
        <f t="shared" si="0"/>
        <v>Sunday</v>
      </c>
      <c r="D14" s="1" t="str">
        <f t="shared" si="1"/>
        <v>September</v>
      </c>
      <c r="E14">
        <f t="shared" si="2"/>
        <v>2007</v>
      </c>
      <c r="F14" t="s">
        <v>133</v>
      </c>
      <c r="G14" t="s">
        <v>1</v>
      </c>
      <c r="H14" t="s">
        <v>47</v>
      </c>
      <c r="I14" t="s">
        <v>134</v>
      </c>
      <c r="J14" t="s">
        <v>38</v>
      </c>
      <c r="K14" t="s">
        <v>30</v>
      </c>
      <c r="L14" t="s">
        <v>38</v>
      </c>
      <c r="M14" t="str">
        <f t="shared" si="3"/>
        <v>Win</v>
      </c>
      <c r="N14" t="s">
        <v>522</v>
      </c>
      <c r="O14" t="s">
        <v>409</v>
      </c>
      <c r="P14" t="s">
        <v>179</v>
      </c>
    </row>
    <row r="15" spans="1:16" x14ac:dyDescent="0.3">
      <c r="A15" t="s">
        <v>592</v>
      </c>
      <c r="B15" s="1">
        <v>39463</v>
      </c>
      <c r="C15" s="1" t="str">
        <f t="shared" si="0"/>
        <v>Wednesday</v>
      </c>
      <c r="D15" s="1" t="str">
        <f t="shared" si="1"/>
        <v>January</v>
      </c>
      <c r="E15">
        <f t="shared" si="2"/>
        <v>2008</v>
      </c>
      <c r="F15" t="s">
        <v>184</v>
      </c>
      <c r="G15" t="s">
        <v>1</v>
      </c>
      <c r="H15" t="s">
        <v>17</v>
      </c>
      <c r="I15" t="s">
        <v>2</v>
      </c>
      <c r="J15" t="s">
        <v>38</v>
      </c>
      <c r="K15" t="s">
        <v>32</v>
      </c>
      <c r="L15" t="s">
        <v>38</v>
      </c>
      <c r="M15" t="str">
        <f t="shared" si="3"/>
        <v>Win</v>
      </c>
      <c r="N15" t="s">
        <v>524</v>
      </c>
      <c r="O15" t="s">
        <v>1001</v>
      </c>
      <c r="P15" t="s">
        <v>1001</v>
      </c>
    </row>
    <row r="16" spans="1:16" x14ac:dyDescent="0.3">
      <c r="A16" t="s">
        <v>593</v>
      </c>
      <c r="B16" s="1">
        <v>39464</v>
      </c>
      <c r="C16" s="1" t="str">
        <f t="shared" si="0"/>
        <v>Thursday</v>
      </c>
      <c r="D16" s="1" t="str">
        <f t="shared" si="1"/>
        <v>January</v>
      </c>
      <c r="E16">
        <f t="shared" si="2"/>
        <v>2008</v>
      </c>
      <c r="F16" t="s">
        <v>184</v>
      </c>
      <c r="G16" t="s">
        <v>1</v>
      </c>
      <c r="H16" t="s">
        <v>40</v>
      </c>
      <c r="I16" t="s">
        <v>2</v>
      </c>
      <c r="J16" t="s">
        <v>38</v>
      </c>
      <c r="K16" t="s">
        <v>34</v>
      </c>
      <c r="L16" t="s">
        <v>38</v>
      </c>
      <c r="M16" t="str">
        <f t="shared" si="3"/>
        <v>Win</v>
      </c>
      <c r="N16" t="s">
        <v>1007</v>
      </c>
      <c r="O16" t="s">
        <v>566</v>
      </c>
      <c r="P16" t="s">
        <v>1004</v>
      </c>
    </row>
    <row r="17" spans="1:16" x14ac:dyDescent="0.3">
      <c r="A17" t="s">
        <v>594</v>
      </c>
      <c r="B17" s="1">
        <v>39465</v>
      </c>
      <c r="C17" s="1" t="str">
        <f t="shared" si="0"/>
        <v>Friday</v>
      </c>
      <c r="D17" s="1" t="str">
        <f t="shared" si="1"/>
        <v>January</v>
      </c>
      <c r="E17">
        <f t="shared" si="2"/>
        <v>2008</v>
      </c>
      <c r="F17" t="s">
        <v>184</v>
      </c>
      <c r="G17" t="s">
        <v>1</v>
      </c>
      <c r="H17" t="s">
        <v>42</v>
      </c>
      <c r="I17" t="s">
        <v>2</v>
      </c>
      <c r="J17" t="s">
        <v>38</v>
      </c>
      <c r="K17" t="s">
        <v>68</v>
      </c>
      <c r="L17" t="s">
        <v>38</v>
      </c>
      <c r="M17" t="str">
        <f t="shared" si="3"/>
        <v>Win</v>
      </c>
      <c r="N17" t="s">
        <v>203</v>
      </c>
      <c r="O17" t="s">
        <v>1001</v>
      </c>
      <c r="P17" t="s">
        <v>1001</v>
      </c>
    </row>
    <row r="18" spans="1:16" x14ac:dyDescent="0.3">
      <c r="A18" t="s">
        <v>595</v>
      </c>
      <c r="B18" s="1">
        <v>39466</v>
      </c>
      <c r="C18" s="1" t="str">
        <f t="shared" si="0"/>
        <v>Saturday</v>
      </c>
      <c r="D18" s="1" t="str">
        <f t="shared" si="1"/>
        <v>January</v>
      </c>
      <c r="E18">
        <f t="shared" si="2"/>
        <v>2008</v>
      </c>
      <c r="F18" t="s">
        <v>184</v>
      </c>
      <c r="G18" t="s">
        <v>1</v>
      </c>
      <c r="H18" t="s">
        <v>46</v>
      </c>
      <c r="I18" t="s">
        <v>2</v>
      </c>
      <c r="J18" t="s">
        <v>38</v>
      </c>
      <c r="K18" t="s">
        <v>26</v>
      </c>
      <c r="L18" t="s">
        <v>38</v>
      </c>
      <c r="M18" t="str">
        <f t="shared" si="3"/>
        <v>Win</v>
      </c>
      <c r="N18" t="s">
        <v>1008</v>
      </c>
      <c r="O18" t="s">
        <v>1001</v>
      </c>
      <c r="P18" t="s">
        <v>1001</v>
      </c>
    </row>
    <row r="19" spans="1:16" x14ac:dyDescent="0.3">
      <c r="A19" t="s">
        <v>596</v>
      </c>
      <c r="B19" s="1">
        <v>39467</v>
      </c>
      <c r="C19" s="1" t="str">
        <f t="shared" si="0"/>
        <v>Sunday</v>
      </c>
      <c r="D19" s="1" t="str">
        <f t="shared" si="1"/>
        <v>January</v>
      </c>
      <c r="E19">
        <f t="shared" si="2"/>
        <v>2008</v>
      </c>
      <c r="F19" t="s">
        <v>184</v>
      </c>
      <c r="G19" t="s">
        <v>1</v>
      </c>
      <c r="H19" t="s">
        <v>47</v>
      </c>
      <c r="I19" t="s">
        <v>2</v>
      </c>
      <c r="J19" t="s">
        <v>38</v>
      </c>
      <c r="K19" t="s">
        <v>54</v>
      </c>
      <c r="L19" t="s">
        <v>38</v>
      </c>
      <c r="M19" t="str">
        <f t="shared" si="3"/>
        <v>Win</v>
      </c>
      <c r="N19" t="s">
        <v>1002</v>
      </c>
      <c r="O19" t="s">
        <v>1009</v>
      </c>
      <c r="P19" t="s">
        <v>524</v>
      </c>
    </row>
    <row r="20" spans="1:16" x14ac:dyDescent="0.3">
      <c r="A20" t="s">
        <v>597</v>
      </c>
      <c r="B20" s="1">
        <v>39610</v>
      </c>
      <c r="C20" s="1" t="str">
        <f t="shared" si="0"/>
        <v>Wednesday</v>
      </c>
      <c r="D20" s="1" t="str">
        <f t="shared" si="1"/>
        <v>June</v>
      </c>
      <c r="E20">
        <f t="shared" si="2"/>
        <v>2008</v>
      </c>
      <c r="F20" t="s">
        <v>207</v>
      </c>
      <c r="G20" t="s">
        <v>1</v>
      </c>
      <c r="H20" t="s">
        <v>17</v>
      </c>
      <c r="I20" t="s">
        <v>92</v>
      </c>
      <c r="J20" t="s">
        <v>38</v>
      </c>
      <c r="K20" t="s">
        <v>137</v>
      </c>
      <c r="L20" t="s">
        <v>38</v>
      </c>
      <c r="M20" t="str">
        <f t="shared" si="3"/>
        <v>Win</v>
      </c>
      <c r="N20" t="s">
        <v>1010</v>
      </c>
      <c r="O20" t="s">
        <v>1000</v>
      </c>
      <c r="P20" t="s">
        <v>1004</v>
      </c>
    </row>
    <row r="21" spans="1:16" x14ac:dyDescent="0.3">
      <c r="A21" t="s">
        <v>598</v>
      </c>
      <c r="B21" s="1">
        <v>39611</v>
      </c>
      <c r="C21" s="1" t="str">
        <f t="shared" si="0"/>
        <v>Thursday</v>
      </c>
      <c r="D21" s="1" t="str">
        <f t="shared" si="1"/>
        <v>June</v>
      </c>
      <c r="E21">
        <f t="shared" si="2"/>
        <v>2008</v>
      </c>
      <c r="F21" t="s">
        <v>207</v>
      </c>
      <c r="G21" t="s">
        <v>1</v>
      </c>
      <c r="H21" t="s">
        <v>40</v>
      </c>
      <c r="I21" t="s">
        <v>92</v>
      </c>
      <c r="J21" t="s">
        <v>38</v>
      </c>
      <c r="K21" t="s">
        <v>7</v>
      </c>
      <c r="L21" t="s">
        <v>38</v>
      </c>
      <c r="M21" t="str">
        <f t="shared" si="3"/>
        <v>Win</v>
      </c>
      <c r="N21" t="s">
        <v>406</v>
      </c>
      <c r="O21" t="s">
        <v>1007</v>
      </c>
      <c r="P21" t="s">
        <v>1011</v>
      </c>
    </row>
    <row r="22" spans="1:16" x14ac:dyDescent="0.3">
      <c r="A22" t="s">
        <v>599</v>
      </c>
      <c r="B22" s="1">
        <v>39612</v>
      </c>
      <c r="C22" s="1" t="str">
        <f t="shared" si="0"/>
        <v>Friday</v>
      </c>
      <c r="D22" s="1" t="str">
        <f t="shared" si="1"/>
        <v>June</v>
      </c>
      <c r="E22">
        <f t="shared" si="2"/>
        <v>2008</v>
      </c>
      <c r="F22" t="s">
        <v>207</v>
      </c>
      <c r="G22" t="s">
        <v>1</v>
      </c>
      <c r="H22" t="s">
        <v>42</v>
      </c>
      <c r="I22" t="s">
        <v>92</v>
      </c>
      <c r="J22" t="s">
        <v>38</v>
      </c>
      <c r="K22" t="s">
        <v>72</v>
      </c>
      <c r="L22" t="s">
        <v>38</v>
      </c>
      <c r="M22" t="str">
        <f t="shared" si="3"/>
        <v>Win</v>
      </c>
      <c r="N22" t="s">
        <v>1011</v>
      </c>
      <c r="O22" t="s">
        <v>1001</v>
      </c>
      <c r="P22" t="s">
        <v>1001</v>
      </c>
    </row>
    <row r="23" spans="1:16" x14ac:dyDescent="0.3">
      <c r="A23" t="s">
        <v>600</v>
      </c>
      <c r="B23" s="1">
        <v>39613</v>
      </c>
      <c r="C23" s="1" t="str">
        <f t="shared" si="0"/>
        <v>Saturday</v>
      </c>
      <c r="D23" s="1" t="str">
        <f t="shared" si="1"/>
        <v>June</v>
      </c>
      <c r="E23">
        <f t="shared" si="2"/>
        <v>2008</v>
      </c>
      <c r="F23" t="s">
        <v>207</v>
      </c>
      <c r="G23" t="s">
        <v>1</v>
      </c>
      <c r="H23" t="s">
        <v>46</v>
      </c>
      <c r="I23" t="s">
        <v>92</v>
      </c>
      <c r="J23" t="s">
        <v>38</v>
      </c>
      <c r="K23" t="s">
        <v>21</v>
      </c>
      <c r="L23" t="s">
        <v>38</v>
      </c>
      <c r="M23" t="str">
        <f t="shared" si="3"/>
        <v>Win</v>
      </c>
      <c r="N23" t="s">
        <v>385</v>
      </c>
      <c r="O23" t="s">
        <v>1001</v>
      </c>
      <c r="P23" t="s">
        <v>1001</v>
      </c>
    </row>
    <row r="24" spans="1:16" x14ac:dyDescent="0.3">
      <c r="A24" t="s">
        <v>601</v>
      </c>
      <c r="B24" s="1">
        <v>39614</v>
      </c>
      <c r="C24" s="1" t="str">
        <f t="shared" si="0"/>
        <v>Sunday</v>
      </c>
      <c r="D24" s="1" t="str">
        <f t="shared" si="1"/>
        <v>June</v>
      </c>
      <c r="E24">
        <f t="shared" si="2"/>
        <v>2008</v>
      </c>
      <c r="F24" t="s">
        <v>207</v>
      </c>
      <c r="G24" t="s">
        <v>1</v>
      </c>
      <c r="H24" t="s">
        <v>47</v>
      </c>
      <c r="I24" t="s">
        <v>92</v>
      </c>
      <c r="J24" t="s">
        <v>38</v>
      </c>
      <c r="K24" t="s">
        <v>68</v>
      </c>
      <c r="L24" t="s">
        <v>38</v>
      </c>
      <c r="M24" t="str">
        <f t="shared" si="3"/>
        <v>Win</v>
      </c>
      <c r="N24" t="s">
        <v>203</v>
      </c>
      <c r="O24" t="s">
        <v>1001</v>
      </c>
      <c r="P24" t="s">
        <v>1001</v>
      </c>
    </row>
    <row r="25" spans="1:16" x14ac:dyDescent="0.3">
      <c r="A25" t="s">
        <v>602</v>
      </c>
      <c r="B25" s="1">
        <v>39708</v>
      </c>
      <c r="C25" s="1" t="str">
        <f t="shared" si="0"/>
        <v>Wednesday</v>
      </c>
      <c r="D25" s="1" t="str">
        <f t="shared" si="1"/>
        <v>September</v>
      </c>
      <c r="E25">
        <f t="shared" si="2"/>
        <v>2008</v>
      </c>
      <c r="F25" t="s">
        <v>241</v>
      </c>
      <c r="G25" t="s">
        <v>1</v>
      </c>
      <c r="H25" t="s">
        <v>17</v>
      </c>
      <c r="I25" t="s">
        <v>134</v>
      </c>
      <c r="J25" t="s">
        <v>38</v>
      </c>
      <c r="K25" t="s">
        <v>165</v>
      </c>
      <c r="L25" t="s">
        <v>38</v>
      </c>
      <c r="M25" t="str">
        <f t="shared" si="3"/>
        <v>Win</v>
      </c>
      <c r="N25" t="s">
        <v>1008</v>
      </c>
      <c r="O25" t="s">
        <v>1001</v>
      </c>
      <c r="P25" t="s">
        <v>1001</v>
      </c>
    </row>
    <row r="26" spans="1:16" x14ac:dyDescent="0.3">
      <c r="A26" t="s">
        <v>603</v>
      </c>
      <c r="B26" s="1">
        <v>39709</v>
      </c>
      <c r="C26" s="1" t="str">
        <f t="shared" si="0"/>
        <v>Thursday</v>
      </c>
      <c r="D26" s="1" t="str">
        <f t="shared" si="1"/>
        <v>September</v>
      </c>
      <c r="E26">
        <f t="shared" si="2"/>
        <v>2008</v>
      </c>
      <c r="F26" t="s">
        <v>241</v>
      </c>
      <c r="G26" t="s">
        <v>1</v>
      </c>
      <c r="H26" t="s">
        <v>40</v>
      </c>
      <c r="I26" t="s">
        <v>134</v>
      </c>
      <c r="J26" t="s">
        <v>38</v>
      </c>
      <c r="K26" t="s">
        <v>137</v>
      </c>
      <c r="L26" t="s">
        <v>38</v>
      </c>
      <c r="M26" t="str">
        <f t="shared" si="3"/>
        <v>Win</v>
      </c>
      <c r="N26" t="s">
        <v>1006</v>
      </c>
      <c r="O26" t="s">
        <v>1001</v>
      </c>
      <c r="P26" t="s">
        <v>1001</v>
      </c>
    </row>
    <row r="27" spans="1:16" x14ac:dyDescent="0.3">
      <c r="A27" t="s">
        <v>604</v>
      </c>
      <c r="B27" s="1">
        <v>39710</v>
      </c>
      <c r="C27" s="1" t="str">
        <f t="shared" si="0"/>
        <v>Friday</v>
      </c>
      <c r="D27" s="1" t="str">
        <f t="shared" si="1"/>
        <v>September</v>
      </c>
      <c r="E27">
        <f t="shared" si="2"/>
        <v>2008</v>
      </c>
      <c r="F27" t="s">
        <v>241</v>
      </c>
      <c r="G27" t="s">
        <v>1</v>
      </c>
      <c r="H27" t="s">
        <v>42</v>
      </c>
      <c r="I27" t="s">
        <v>134</v>
      </c>
      <c r="J27" t="s">
        <v>38</v>
      </c>
      <c r="K27" t="s">
        <v>121</v>
      </c>
      <c r="L27" t="s">
        <v>38</v>
      </c>
      <c r="M27" t="str">
        <f t="shared" si="3"/>
        <v>Win</v>
      </c>
      <c r="N27" t="s">
        <v>524</v>
      </c>
      <c r="O27" t="s">
        <v>1001</v>
      </c>
      <c r="P27" t="s">
        <v>1001</v>
      </c>
    </row>
    <row r="28" spans="1:16" x14ac:dyDescent="0.3">
      <c r="A28" t="s">
        <v>605</v>
      </c>
      <c r="B28" s="1">
        <v>39711</v>
      </c>
      <c r="C28" s="1" t="str">
        <f t="shared" si="0"/>
        <v>Saturday</v>
      </c>
      <c r="D28" s="1" t="str">
        <f t="shared" si="1"/>
        <v>September</v>
      </c>
      <c r="E28">
        <f t="shared" si="2"/>
        <v>2008</v>
      </c>
      <c r="F28" t="s">
        <v>241</v>
      </c>
      <c r="G28" t="s">
        <v>1</v>
      </c>
      <c r="H28" t="s">
        <v>46</v>
      </c>
      <c r="I28" t="s">
        <v>134</v>
      </c>
      <c r="J28" t="s">
        <v>38</v>
      </c>
      <c r="K28" t="s">
        <v>72</v>
      </c>
      <c r="L28" t="s">
        <v>38</v>
      </c>
      <c r="M28" t="str">
        <f t="shared" si="3"/>
        <v>Win</v>
      </c>
      <c r="N28" t="s">
        <v>1012</v>
      </c>
      <c r="O28" t="s">
        <v>1001</v>
      </c>
      <c r="P28" t="s">
        <v>1001</v>
      </c>
    </row>
    <row r="29" spans="1:16" x14ac:dyDescent="0.3">
      <c r="A29" t="s">
        <v>606</v>
      </c>
      <c r="B29" s="1">
        <v>39712</v>
      </c>
      <c r="C29" s="1" t="str">
        <f t="shared" si="0"/>
        <v>Sunday</v>
      </c>
      <c r="D29" s="1" t="str">
        <f t="shared" si="1"/>
        <v>September</v>
      </c>
      <c r="E29">
        <f t="shared" si="2"/>
        <v>2008</v>
      </c>
      <c r="F29" t="s">
        <v>241</v>
      </c>
      <c r="G29" t="s">
        <v>1</v>
      </c>
      <c r="H29" t="s">
        <v>47</v>
      </c>
      <c r="I29" t="s">
        <v>134</v>
      </c>
      <c r="J29" t="s">
        <v>38</v>
      </c>
      <c r="K29" t="s">
        <v>3</v>
      </c>
      <c r="L29" t="s">
        <v>3</v>
      </c>
      <c r="M29" t="str">
        <f t="shared" si="3"/>
        <v>Loss</v>
      </c>
      <c r="N29" t="s">
        <v>406</v>
      </c>
      <c r="O29" t="s">
        <v>1001</v>
      </c>
      <c r="P29" t="s">
        <v>1001</v>
      </c>
    </row>
    <row r="30" spans="1:16" x14ac:dyDescent="0.3">
      <c r="A30" t="s">
        <v>607</v>
      </c>
      <c r="B30" s="1">
        <v>39721</v>
      </c>
      <c r="C30" s="1" t="str">
        <f t="shared" si="0"/>
        <v>Tuesday</v>
      </c>
      <c r="D30" s="1" t="str">
        <f t="shared" si="1"/>
        <v>September</v>
      </c>
      <c r="E30">
        <f t="shared" si="2"/>
        <v>2008</v>
      </c>
      <c r="F30" t="s">
        <v>257</v>
      </c>
      <c r="G30" t="s">
        <v>219</v>
      </c>
      <c r="H30" t="s">
        <v>222</v>
      </c>
      <c r="J30" t="s">
        <v>38</v>
      </c>
      <c r="K30" t="s">
        <v>166</v>
      </c>
      <c r="L30" t="s">
        <v>38</v>
      </c>
      <c r="M30" t="str">
        <f t="shared" si="3"/>
        <v>Win</v>
      </c>
      <c r="N30" t="s">
        <v>1013</v>
      </c>
      <c r="O30" t="s">
        <v>1001</v>
      </c>
      <c r="P30" t="s">
        <v>1001</v>
      </c>
    </row>
    <row r="31" spans="1:16" x14ac:dyDescent="0.3">
      <c r="A31" t="s">
        <v>608</v>
      </c>
      <c r="B31" s="1">
        <v>39722</v>
      </c>
      <c r="C31" s="1" t="str">
        <f t="shared" si="0"/>
        <v>Wednesday</v>
      </c>
      <c r="D31" s="1" t="str">
        <f t="shared" si="1"/>
        <v>October</v>
      </c>
      <c r="E31">
        <f t="shared" si="2"/>
        <v>2008</v>
      </c>
      <c r="F31" t="s">
        <v>257</v>
      </c>
      <c r="G31" t="s">
        <v>219</v>
      </c>
      <c r="H31" t="s">
        <v>17</v>
      </c>
      <c r="J31" t="s">
        <v>38</v>
      </c>
      <c r="K31" t="s">
        <v>259</v>
      </c>
      <c r="L31" t="s">
        <v>38</v>
      </c>
      <c r="M31" t="str">
        <f t="shared" si="3"/>
        <v>Win</v>
      </c>
      <c r="N31" t="s">
        <v>998</v>
      </c>
      <c r="O31" t="s">
        <v>1001</v>
      </c>
      <c r="P31" t="s">
        <v>1001</v>
      </c>
    </row>
    <row r="32" spans="1:16" x14ac:dyDescent="0.3">
      <c r="A32" t="s">
        <v>609</v>
      </c>
      <c r="B32" s="1">
        <v>39723</v>
      </c>
      <c r="C32" s="1" t="str">
        <f t="shared" si="0"/>
        <v>Thursday</v>
      </c>
      <c r="D32" s="1" t="str">
        <f t="shared" si="1"/>
        <v>October</v>
      </c>
      <c r="E32">
        <f t="shared" si="2"/>
        <v>2008</v>
      </c>
      <c r="F32" t="s">
        <v>257</v>
      </c>
      <c r="G32" t="s">
        <v>219</v>
      </c>
      <c r="H32" t="s">
        <v>40</v>
      </c>
      <c r="J32" t="s">
        <v>38</v>
      </c>
      <c r="K32" t="s">
        <v>227</v>
      </c>
      <c r="L32" t="s">
        <v>38</v>
      </c>
      <c r="M32" t="str">
        <f t="shared" si="3"/>
        <v>Win</v>
      </c>
      <c r="N32" t="s">
        <v>522</v>
      </c>
      <c r="O32" t="s">
        <v>1001</v>
      </c>
      <c r="P32" t="s">
        <v>1001</v>
      </c>
    </row>
    <row r="33" spans="1:16" x14ac:dyDescent="0.3">
      <c r="A33" t="s">
        <v>610</v>
      </c>
      <c r="B33" s="1">
        <v>39725</v>
      </c>
      <c r="C33" s="1" t="str">
        <f t="shared" si="0"/>
        <v>Saturday</v>
      </c>
      <c r="D33" s="1" t="str">
        <f t="shared" si="1"/>
        <v>October</v>
      </c>
      <c r="E33">
        <f t="shared" si="2"/>
        <v>2008</v>
      </c>
      <c r="F33" t="s">
        <v>257</v>
      </c>
      <c r="G33" t="s">
        <v>219</v>
      </c>
      <c r="H33" t="s">
        <v>46</v>
      </c>
      <c r="J33" t="s">
        <v>38</v>
      </c>
      <c r="K33" t="s">
        <v>94</v>
      </c>
      <c r="L33" t="s">
        <v>38</v>
      </c>
      <c r="M33" t="str">
        <f t="shared" si="3"/>
        <v>Win</v>
      </c>
      <c r="N33" t="s">
        <v>203</v>
      </c>
      <c r="O33" t="s">
        <v>1001</v>
      </c>
      <c r="P33" t="s">
        <v>1001</v>
      </c>
    </row>
    <row r="34" spans="1:16" x14ac:dyDescent="0.3">
      <c r="A34" t="s">
        <v>611</v>
      </c>
      <c r="B34" s="1">
        <v>39726</v>
      </c>
      <c r="C34" s="1" t="str">
        <f t="shared" si="0"/>
        <v>Sunday</v>
      </c>
      <c r="D34" s="1" t="str">
        <f t="shared" si="1"/>
        <v>October</v>
      </c>
      <c r="E34">
        <f t="shared" si="2"/>
        <v>2008</v>
      </c>
      <c r="F34" t="s">
        <v>257</v>
      </c>
      <c r="G34" t="s">
        <v>219</v>
      </c>
      <c r="H34" t="s">
        <v>47</v>
      </c>
      <c r="J34" t="s">
        <v>38</v>
      </c>
      <c r="K34" t="s">
        <v>30</v>
      </c>
      <c r="L34" t="s">
        <v>30</v>
      </c>
      <c r="M34" t="str">
        <f t="shared" si="3"/>
        <v>Loss</v>
      </c>
      <c r="N34" t="s">
        <v>409</v>
      </c>
      <c r="O34" t="s">
        <v>1001</v>
      </c>
      <c r="P34" t="s">
        <v>1001</v>
      </c>
    </row>
    <row r="35" spans="1:16" x14ac:dyDescent="0.3">
      <c r="A35" t="s">
        <v>612</v>
      </c>
      <c r="B35" s="1">
        <v>39750</v>
      </c>
      <c r="C35" s="1" t="str">
        <f t="shared" si="0"/>
        <v>Wednesday</v>
      </c>
      <c r="D35" s="1" t="str">
        <f t="shared" si="1"/>
        <v>October</v>
      </c>
      <c r="E35">
        <f t="shared" si="2"/>
        <v>2008</v>
      </c>
      <c r="F35" t="s">
        <v>271</v>
      </c>
      <c r="G35" t="s">
        <v>1</v>
      </c>
      <c r="H35" t="s">
        <v>17</v>
      </c>
      <c r="I35" t="s">
        <v>154</v>
      </c>
      <c r="J35" t="s">
        <v>38</v>
      </c>
      <c r="K35" t="s">
        <v>185</v>
      </c>
      <c r="L35" t="s">
        <v>38</v>
      </c>
      <c r="M35" t="str">
        <f t="shared" si="3"/>
        <v>Win</v>
      </c>
      <c r="N35" t="s">
        <v>485</v>
      </c>
      <c r="O35" t="s">
        <v>1001</v>
      </c>
      <c r="P35" t="s">
        <v>1001</v>
      </c>
    </row>
    <row r="36" spans="1:16" x14ac:dyDescent="0.3">
      <c r="A36" t="s">
        <v>613</v>
      </c>
      <c r="B36" s="1">
        <v>39751</v>
      </c>
      <c r="C36" s="1" t="str">
        <f t="shared" si="0"/>
        <v>Thursday</v>
      </c>
      <c r="D36" s="1" t="str">
        <f t="shared" si="1"/>
        <v>October</v>
      </c>
      <c r="E36">
        <f t="shared" si="2"/>
        <v>2008</v>
      </c>
      <c r="F36" t="s">
        <v>271</v>
      </c>
      <c r="G36" t="s">
        <v>1</v>
      </c>
      <c r="H36" t="s">
        <v>40</v>
      </c>
      <c r="I36" t="s">
        <v>154</v>
      </c>
      <c r="J36" t="s">
        <v>38</v>
      </c>
      <c r="K36" t="s">
        <v>27</v>
      </c>
      <c r="L36" t="s">
        <v>38</v>
      </c>
      <c r="M36" t="str">
        <f t="shared" si="3"/>
        <v>Win</v>
      </c>
      <c r="N36" t="s">
        <v>1005</v>
      </c>
      <c r="O36" t="s">
        <v>1001</v>
      </c>
      <c r="P36" t="s">
        <v>1001</v>
      </c>
    </row>
    <row r="37" spans="1:16" x14ac:dyDescent="0.3">
      <c r="A37" t="s">
        <v>614</v>
      </c>
      <c r="B37" s="1">
        <v>39752</v>
      </c>
      <c r="C37" s="1" t="str">
        <f t="shared" si="0"/>
        <v>Friday</v>
      </c>
      <c r="D37" s="1" t="str">
        <f t="shared" si="1"/>
        <v>October</v>
      </c>
      <c r="E37">
        <f t="shared" si="2"/>
        <v>2008</v>
      </c>
      <c r="F37" t="s">
        <v>271</v>
      </c>
      <c r="G37" t="s">
        <v>1</v>
      </c>
      <c r="H37" t="s">
        <v>42</v>
      </c>
      <c r="I37" t="s">
        <v>154</v>
      </c>
      <c r="J37" t="s">
        <v>38</v>
      </c>
      <c r="K37" t="s">
        <v>124</v>
      </c>
      <c r="L37" t="s">
        <v>38</v>
      </c>
      <c r="M37" t="str">
        <f t="shared" si="3"/>
        <v>Win</v>
      </c>
      <c r="N37" t="s">
        <v>485</v>
      </c>
      <c r="O37" t="s">
        <v>1001</v>
      </c>
      <c r="P37" t="s">
        <v>1001</v>
      </c>
    </row>
    <row r="38" spans="1:16" x14ac:dyDescent="0.3">
      <c r="A38" t="s">
        <v>615</v>
      </c>
      <c r="B38" s="1">
        <v>39753</v>
      </c>
      <c r="C38" s="1" t="str">
        <f t="shared" si="0"/>
        <v>Saturday</v>
      </c>
      <c r="D38" s="1" t="str">
        <f t="shared" si="1"/>
        <v>November</v>
      </c>
      <c r="E38">
        <f t="shared" si="2"/>
        <v>2008</v>
      </c>
      <c r="F38" t="s">
        <v>271</v>
      </c>
      <c r="G38" t="s">
        <v>1</v>
      </c>
      <c r="H38" t="s">
        <v>46</v>
      </c>
      <c r="I38" t="s">
        <v>154</v>
      </c>
      <c r="J38" t="s">
        <v>38</v>
      </c>
      <c r="K38" t="s">
        <v>30</v>
      </c>
      <c r="L38" t="s">
        <v>30</v>
      </c>
      <c r="M38" t="str">
        <f t="shared" si="3"/>
        <v>Loss</v>
      </c>
      <c r="N38" t="s">
        <v>550</v>
      </c>
      <c r="O38" t="s">
        <v>552</v>
      </c>
      <c r="P38" t="s">
        <v>1014</v>
      </c>
    </row>
    <row r="39" spans="1:16" x14ac:dyDescent="0.3">
      <c r="A39" t="s">
        <v>616</v>
      </c>
      <c r="B39" s="1">
        <v>39771</v>
      </c>
      <c r="C39" s="1" t="str">
        <f t="shared" si="0"/>
        <v>Wednesday</v>
      </c>
      <c r="D39" s="1" t="str">
        <f t="shared" si="1"/>
        <v>November</v>
      </c>
      <c r="E39">
        <f t="shared" si="2"/>
        <v>2008</v>
      </c>
      <c r="F39" t="s">
        <v>279</v>
      </c>
      <c r="G39" t="s">
        <v>1</v>
      </c>
      <c r="H39" t="s">
        <v>17</v>
      </c>
      <c r="I39" t="s">
        <v>118</v>
      </c>
      <c r="J39" t="s">
        <v>38</v>
      </c>
      <c r="K39" t="s">
        <v>121</v>
      </c>
      <c r="L39" t="s">
        <v>38</v>
      </c>
      <c r="M39" t="str">
        <f t="shared" si="3"/>
        <v>Win</v>
      </c>
      <c r="N39" t="s">
        <v>1015</v>
      </c>
      <c r="O39" t="s">
        <v>485</v>
      </c>
      <c r="P39" t="s">
        <v>550</v>
      </c>
    </row>
    <row r="40" spans="1:16" x14ac:dyDescent="0.3">
      <c r="A40" t="s">
        <v>617</v>
      </c>
      <c r="B40" s="1">
        <v>39772</v>
      </c>
      <c r="C40" s="1" t="str">
        <f t="shared" si="0"/>
        <v>Thursday</v>
      </c>
      <c r="D40" s="1" t="str">
        <f t="shared" si="1"/>
        <v>November</v>
      </c>
      <c r="E40">
        <f t="shared" si="2"/>
        <v>2008</v>
      </c>
      <c r="F40" t="s">
        <v>279</v>
      </c>
      <c r="G40" t="s">
        <v>1</v>
      </c>
      <c r="H40" t="s">
        <v>40</v>
      </c>
      <c r="I40" t="s">
        <v>118</v>
      </c>
      <c r="J40" t="s">
        <v>38</v>
      </c>
      <c r="K40" t="s">
        <v>35</v>
      </c>
      <c r="L40" t="s">
        <v>38</v>
      </c>
      <c r="M40" t="str">
        <f t="shared" si="3"/>
        <v>Win</v>
      </c>
      <c r="N40" t="s">
        <v>203</v>
      </c>
      <c r="O40" t="s">
        <v>1001</v>
      </c>
      <c r="P40" t="s">
        <v>1001</v>
      </c>
    </row>
    <row r="41" spans="1:16" x14ac:dyDescent="0.3">
      <c r="A41" t="s">
        <v>618</v>
      </c>
      <c r="B41" s="1">
        <v>39773</v>
      </c>
      <c r="C41" s="1" t="str">
        <f t="shared" si="0"/>
        <v>Friday</v>
      </c>
      <c r="D41" s="1" t="str">
        <f t="shared" si="1"/>
        <v>November</v>
      </c>
      <c r="E41">
        <f t="shared" si="2"/>
        <v>2008</v>
      </c>
      <c r="F41" t="s">
        <v>279</v>
      </c>
      <c r="G41" t="s">
        <v>1</v>
      </c>
      <c r="H41" t="s">
        <v>42</v>
      </c>
      <c r="I41" t="s">
        <v>118</v>
      </c>
      <c r="J41" t="s">
        <v>38</v>
      </c>
      <c r="K41" t="s">
        <v>7</v>
      </c>
      <c r="L41" t="s">
        <v>38</v>
      </c>
      <c r="M41" t="str">
        <f t="shared" si="3"/>
        <v>Win</v>
      </c>
      <c r="N41" t="s">
        <v>179</v>
      </c>
      <c r="O41" t="s">
        <v>409</v>
      </c>
      <c r="P41" t="s">
        <v>1005</v>
      </c>
    </row>
    <row r="42" spans="1:16" x14ac:dyDescent="0.3">
      <c r="A42" t="s">
        <v>619</v>
      </c>
      <c r="B42" s="1">
        <v>39774</v>
      </c>
      <c r="C42" s="1" t="str">
        <f t="shared" si="0"/>
        <v>Saturday</v>
      </c>
      <c r="D42" s="1" t="str">
        <f t="shared" si="1"/>
        <v>November</v>
      </c>
      <c r="E42">
        <f t="shared" si="2"/>
        <v>2008</v>
      </c>
      <c r="F42" t="s">
        <v>279</v>
      </c>
      <c r="G42" t="s">
        <v>1</v>
      </c>
      <c r="H42" t="s">
        <v>46</v>
      </c>
      <c r="I42" t="s">
        <v>118</v>
      </c>
      <c r="J42" t="s">
        <v>38</v>
      </c>
      <c r="K42" t="s">
        <v>20</v>
      </c>
      <c r="L42" t="s">
        <v>38</v>
      </c>
      <c r="M42" t="str">
        <f t="shared" si="3"/>
        <v>Win</v>
      </c>
      <c r="N42" t="s">
        <v>406</v>
      </c>
      <c r="O42" t="s">
        <v>1004</v>
      </c>
      <c r="P42" t="s">
        <v>1006</v>
      </c>
    </row>
    <row r="43" spans="1:16" x14ac:dyDescent="0.3">
      <c r="A43" t="s">
        <v>620</v>
      </c>
      <c r="B43" s="1">
        <v>39775</v>
      </c>
      <c r="C43" s="1" t="str">
        <f t="shared" si="0"/>
        <v>Sunday</v>
      </c>
      <c r="D43" s="1" t="str">
        <f t="shared" si="1"/>
        <v>November</v>
      </c>
      <c r="E43">
        <f t="shared" si="2"/>
        <v>2008</v>
      </c>
      <c r="F43" t="s">
        <v>279</v>
      </c>
      <c r="G43" t="s">
        <v>1</v>
      </c>
      <c r="H43" t="s">
        <v>47</v>
      </c>
      <c r="I43" t="s">
        <v>118</v>
      </c>
      <c r="J43" t="s">
        <v>38</v>
      </c>
      <c r="K43" t="s">
        <v>29</v>
      </c>
      <c r="L43" t="s">
        <v>29</v>
      </c>
      <c r="M43" t="str">
        <f t="shared" si="3"/>
        <v>Loss</v>
      </c>
      <c r="N43" t="s">
        <v>999</v>
      </c>
      <c r="O43" t="s">
        <v>1001</v>
      </c>
      <c r="P43" t="s">
        <v>1001</v>
      </c>
    </row>
    <row r="44" spans="1:16" x14ac:dyDescent="0.3">
      <c r="A44" t="s">
        <v>621</v>
      </c>
      <c r="B44" s="1">
        <v>39800</v>
      </c>
      <c r="C44" s="1" t="str">
        <f t="shared" si="0"/>
        <v>Thursday</v>
      </c>
      <c r="D44" s="1" t="str">
        <f t="shared" si="1"/>
        <v>December</v>
      </c>
      <c r="E44">
        <f t="shared" si="2"/>
        <v>2008</v>
      </c>
      <c r="F44" t="s">
        <v>285</v>
      </c>
      <c r="G44" t="s">
        <v>286</v>
      </c>
      <c r="H44" t="s">
        <v>288</v>
      </c>
      <c r="J44" t="s">
        <v>38</v>
      </c>
      <c r="K44" t="s">
        <v>21</v>
      </c>
      <c r="L44" t="s">
        <v>38</v>
      </c>
      <c r="M44" t="str">
        <f t="shared" si="3"/>
        <v>Win</v>
      </c>
      <c r="N44" t="s">
        <v>179</v>
      </c>
      <c r="O44" t="s">
        <v>1001</v>
      </c>
      <c r="P44" t="s">
        <v>1001</v>
      </c>
    </row>
    <row r="45" spans="1:16" x14ac:dyDescent="0.3">
      <c r="A45" t="s">
        <v>622</v>
      </c>
      <c r="B45" s="1">
        <v>39800</v>
      </c>
      <c r="C45" s="1" t="str">
        <f t="shared" si="0"/>
        <v>Thursday</v>
      </c>
      <c r="D45" s="1" t="str">
        <f t="shared" si="1"/>
        <v>December</v>
      </c>
      <c r="E45">
        <f t="shared" si="2"/>
        <v>2008</v>
      </c>
      <c r="F45" t="s">
        <v>285</v>
      </c>
      <c r="G45" t="s">
        <v>286</v>
      </c>
      <c r="H45" t="s">
        <v>289</v>
      </c>
      <c r="J45" t="s">
        <v>38</v>
      </c>
      <c r="K45" t="s">
        <v>7</v>
      </c>
      <c r="L45" t="s">
        <v>38</v>
      </c>
      <c r="M45" t="str">
        <f t="shared" si="3"/>
        <v>Win</v>
      </c>
      <c r="N45" t="s">
        <v>485</v>
      </c>
      <c r="O45" t="s">
        <v>1001</v>
      </c>
      <c r="P45" t="s">
        <v>1001</v>
      </c>
    </row>
    <row r="46" spans="1:16" x14ac:dyDescent="0.3">
      <c r="A46" t="s">
        <v>623</v>
      </c>
      <c r="B46" s="1">
        <v>39801</v>
      </c>
      <c r="C46" s="1" t="str">
        <f t="shared" si="0"/>
        <v>Friday</v>
      </c>
      <c r="D46" s="1" t="str">
        <f t="shared" si="1"/>
        <v>December</v>
      </c>
      <c r="E46">
        <f t="shared" si="2"/>
        <v>2008</v>
      </c>
      <c r="F46" t="s">
        <v>285</v>
      </c>
      <c r="G46" t="s">
        <v>286</v>
      </c>
      <c r="H46" t="s">
        <v>287</v>
      </c>
      <c r="J46" t="s">
        <v>38</v>
      </c>
      <c r="K46" t="s">
        <v>27</v>
      </c>
      <c r="L46" t="s">
        <v>38</v>
      </c>
      <c r="M46" t="str">
        <f t="shared" si="3"/>
        <v>Win</v>
      </c>
      <c r="N46" t="s">
        <v>203</v>
      </c>
      <c r="O46" t="s">
        <v>1000</v>
      </c>
      <c r="P46" t="s">
        <v>1004</v>
      </c>
    </row>
    <row r="47" spans="1:16" x14ac:dyDescent="0.3">
      <c r="A47" t="s">
        <v>624</v>
      </c>
      <c r="B47" s="1">
        <v>39802</v>
      </c>
      <c r="C47" s="1" t="str">
        <f t="shared" si="0"/>
        <v>Saturday</v>
      </c>
      <c r="D47" s="1" t="str">
        <f t="shared" si="1"/>
        <v>December</v>
      </c>
      <c r="E47">
        <f t="shared" si="2"/>
        <v>2008</v>
      </c>
      <c r="F47" t="s">
        <v>285</v>
      </c>
      <c r="G47" t="s">
        <v>286</v>
      </c>
      <c r="H47" t="s">
        <v>46</v>
      </c>
      <c r="J47" t="s">
        <v>38</v>
      </c>
      <c r="K47" t="s">
        <v>30</v>
      </c>
      <c r="L47" t="s">
        <v>38</v>
      </c>
      <c r="M47" t="str">
        <f t="shared" si="3"/>
        <v>Win</v>
      </c>
      <c r="N47" t="s">
        <v>1007</v>
      </c>
      <c r="O47" t="s">
        <v>1001</v>
      </c>
      <c r="P47" t="s">
        <v>1001</v>
      </c>
    </row>
    <row r="48" spans="1:16" x14ac:dyDescent="0.3">
      <c r="A48" t="s">
        <v>625</v>
      </c>
      <c r="B48" s="1">
        <v>39803</v>
      </c>
      <c r="C48" s="1" t="str">
        <f t="shared" si="0"/>
        <v>Sunday</v>
      </c>
      <c r="D48" s="1" t="str">
        <f t="shared" si="1"/>
        <v>December</v>
      </c>
      <c r="E48">
        <f t="shared" si="2"/>
        <v>2008</v>
      </c>
      <c r="F48" t="s">
        <v>285</v>
      </c>
      <c r="G48" t="s">
        <v>286</v>
      </c>
      <c r="H48" t="s">
        <v>47</v>
      </c>
      <c r="J48" t="s">
        <v>38</v>
      </c>
      <c r="K48" t="s">
        <v>21</v>
      </c>
      <c r="L48" t="s">
        <v>38</v>
      </c>
      <c r="M48" t="str">
        <f t="shared" si="3"/>
        <v>Win</v>
      </c>
      <c r="N48" t="s">
        <v>1004</v>
      </c>
      <c r="O48" t="s">
        <v>1001</v>
      </c>
      <c r="P48" t="s">
        <v>1001</v>
      </c>
    </row>
    <row r="49" spans="1:16" x14ac:dyDescent="0.3">
      <c r="A49" t="s">
        <v>626</v>
      </c>
      <c r="B49" s="1">
        <v>39820</v>
      </c>
      <c r="C49" s="1" t="str">
        <f t="shared" si="0"/>
        <v>Wednesday</v>
      </c>
      <c r="D49" s="1" t="str">
        <f t="shared" si="1"/>
        <v>January</v>
      </c>
      <c r="E49">
        <f t="shared" si="2"/>
        <v>2009</v>
      </c>
      <c r="F49" t="s">
        <v>292</v>
      </c>
      <c r="G49" t="s">
        <v>1</v>
      </c>
      <c r="H49" t="s">
        <v>17</v>
      </c>
      <c r="I49" t="s">
        <v>2</v>
      </c>
      <c r="J49" t="s">
        <v>38</v>
      </c>
      <c r="K49" t="s">
        <v>108</v>
      </c>
      <c r="L49" t="s">
        <v>38</v>
      </c>
      <c r="M49" t="str">
        <f t="shared" si="3"/>
        <v>Win</v>
      </c>
      <c r="N49" t="s">
        <v>524</v>
      </c>
      <c r="O49" t="s">
        <v>1001</v>
      </c>
      <c r="P49" t="s">
        <v>1001</v>
      </c>
    </row>
    <row r="50" spans="1:16" x14ac:dyDescent="0.3">
      <c r="A50" t="s">
        <v>627</v>
      </c>
      <c r="B50" s="1">
        <v>39821</v>
      </c>
      <c r="C50" s="1" t="str">
        <f t="shared" si="0"/>
        <v>Thursday</v>
      </c>
      <c r="D50" s="1" t="str">
        <f t="shared" si="1"/>
        <v>January</v>
      </c>
      <c r="E50">
        <f t="shared" si="2"/>
        <v>2009</v>
      </c>
      <c r="F50" t="s">
        <v>292</v>
      </c>
      <c r="G50" t="s">
        <v>1</v>
      </c>
      <c r="H50" t="s">
        <v>40</v>
      </c>
      <c r="I50" t="s">
        <v>2</v>
      </c>
      <c r="J50" t="s">
        <v>38</v>
      </c>
      <c r="K50" t="s">
        <v>9</v>
      </c>
      <c r="L50" t="s">
        <v>38</v>
      </c>
      <c r="M50" t="str">
        <f t="shared" si="3"/>
        <v>Win</v>
      </c>
      <c r="N50" t="s">
        <v>1011</v>
      </c>
      <c r="O50" t="s">
        <v>999</v>
      </c>
      <c r="P50" t="s">
        <v>1006</v>
      </c>
    </row>
    <row r="51" spans="1:16" x14ac:dyDescent="0.3">
      <c r="A51" t="s">
        <v>628</v>
      </c>
      <c r="B51" s="1">
        <v>39822</v>
      </c>
      <c r="C51" s="1" t="str">
        <f t="shared" si="0"/>
        <v>Friday</v>
      </c>
      <c r="D51" s="1" t="str">
        <f t="shared" si="1"/>
        <v>January</v>
      </c>
      <c r="E51">
        <f t="shared" si="2"/>
        <v>2009</v>
      </c>
      <c r="F51" t="s">
        <v>292</v>
      </c>
      <c r="G51" t="s">
        <v>1</v>
      </c>
      <c r="H51" t="s">
        <v>42</v>
      </c>
      <c r="I51" t="s">
        <v>2</v>
      </c>
      <c r="J51" t="s">
        <v>38</v>
      </c>
      <c r="K51" t="s">
        <v>68</v>
      </c>
      <c r="L51" t="s">
        <v>38</v>
      </c>
      <c r="M51" t="str">
        <f t="shared" si="3"/>
        <v>Win</v>
      </c>
      <c r="N51" t="s">
        <v>1002</v>
      </c>
      <c r="O51" t="s">
        <v>505</v>
      </c>
      <c r="P51" t="s">
        <v>1010</v>
      </c>
    </row>
    <row r="52" spans="1:16" x14ac:dyDescent="0.3">
      <c r="A52" t="s">
        <v>629</v>
      </c>
      <c r="B52" s="1">
        <v>39823</v>
      </c>
      <c r="C52" s="1" t="str">
        <f t="shared" si="0"/>
        <v>Saturday</v>
      </c>
      <c r="D52" s="1" t="str">
        <f t="shared" si="1"/>
        <v>January</v>
      </c>
      <c r="E52">
        <f t="shared" si="2"/>
        <v>2009</v>
      </c>
      <c r="F52" t="s">
        <v>292</v>
      </c>
      <c r="G52" t="s">
        <v>1</v>
      </c>
      <c r="H52" t="s">
        <v>46</v>
      </c>
      <c r="I52" t="s">
        <v>2</v>
      </c>
      <c r="J52" t="s">
        <v>38</v>
      </c>
      <c r="K52" t="s">
        <v>21</v>
      </c>
      <c r="L52" t="s">
        <v>38</v>
      </c>
      <c r="M52" t="str">
        <f t="shared" si="3"/>
        <v>Win</v>
      </c>
      <c r="N52" t="s">
        <v>1016</v>
      </c>
      <c r="O52" t="s">
        <v>524</v>
      </c>
      <c r="P52" t="s">
        <v>203</v>
      </c>
    </row>
    <row r="53" spans="1:16" x14ac:dyDescent="0.3">
      <c r="A53" t="s">
        <v>630</v>
      </c>
      <c r="B53" s="1">
        <v>39824</v>
      </c>
      <c r="C53" s="1" t="str">
        <f t="shared" si="0"/>
        <v>Sunday</v>
      </c>
      <c r="D53" s="1" t="str">
        <f t="shared" si="1"/>
        <v>January</v>
      </c>
      <c r="E53">
        <f t="shared" si="2"/>
        <v>2009</v>
      </c>
      <c r="F53" t="s">
        <v>292</v>
      </c>
      <c r="G53" t="s">
        <v>1</v>
      </c>
      <c r="H53" t="s">
        <v>47</v>
      </c>
      <c r="I53" t="s">
        <v>2</v>
      </c>
      <c r="J53" t="s">
        <v>38</v>
      </c>
      <c r="K53" t="s">
        <v>20</v>
      </c>
      <c r="L53" t="s">
        <v>38</v>
      </c>
      <c r="M53" t="str">
        <f t="shared" si="3"/>
        <v>Win</v>
      </c>
      <c r="N53" t="s">
        <v>485</v>
      </c>
      <c r="O53" t="s">
        <v>1001</v>
      </c>
      <c r="P53" t="s">
        <v>1001</v>
      </c>
    </row>
    <row r="54" spans="1:16" x14ac:dyDescent="0.3">
      <c r="A54" t="s">
        <v>631</v>
      </c>
      <c r="B54" s="1">
        <v>39827</v>
      </c>
      <c r="C54" s="1" t="str">
        <f t="shared" si="0"/>
        <v>Wednesday</v>
      </c>
      <c r="D54" s="1" t="str">
        <f t="shared" si="1"/>
        <v>January</v>
      </c>
      <c r="E54">
        <f t="shared" si="2"/>
        <v>2009</v>
      </c>
      <c r="F54" t="s">
        <v>297</v>
      </c>
      <c r="G54" t="s">
        <v>1</v>
      </c>
      <c r="H54" t="s">
        <v>17</v>
      </c>
      <c r="I54" t="s">
        <v>48</v>
      </c>
      <c r="J54" t="s">
        <v>38</v>
      </c>
      <c r="K54" t="s">
        <v>49</v>
      </c>
      <c r="L54" t="s">
        <v>38</v>
      </c>
      <c r="M54" t="str">
        <f t="shared" si="3"/>
        <v>Win</v>
      </c>
      <c r="N54" t="s">
        <v>1010</v>
      </c>
      <c r="O54" t="s">
        <v>406</v>
      </c>
      <c r="P54" t="s">
        <v>1002</v>
      </c>
    </row>
    <row r="55" spans="1:16" x14ac:dyDescent="0.3">
      <c r="A55" t="s">
        <v>632</v>
      </c>
      <c r="B55" s="1">
        <v>39828</v>
      </c>
      <c r="C55" s="1" t="str">
        <f t="shared" si="0"/>
        <v>Thursday</v>
      </c>
      <c r="D55" s="1" t="str">
        <f t="shared" si="1"/>
        <v>January</v>
      </c>
      <c r="E55">
        <f t="shared" si="2"/>
        <v>2009</v>
      </c>
      <c r="F55" t="s">
        <v>297</v>
      </c>
      <c r="G55" t="s">
        <v>1</v>
      </c>
      <c r="H55" t="s">
        <v>40</v>
      </c>
      <c r="I55" t="s">
        <v>48</v>
      </c>
      <c r="J55" t="s">
        <v>38</v>
      </c>
      <c r="K55" t="s">
        <v>227</v>
      </c>
      <c r="L55" t="s">
        <v>38</v>
      </c>
      <c r="M55" t="str">
        <f t="shared" si="3"/>
        <v>Win</v>
      </c>
      <c r="N55" t="s">
        <v>485</v>
      </c>
      <c r="O55" t="s">
        <v>1001</v>
      </c>
      <c r="P55" t="s">
        <v>1001</v>
      </c>
    </row>
    <row r="56" spans="1:16" x14ac:dyDescent="0.3">
      <c r="A56" t="s">
        <v>633</v>
      </c>
      <c r="B56" s="1">
        <v>39829</v>
      </c>
      <c r="C56" s="1" t="str">
        <f t="shared" si="0"/>
        <v>Friday</v>
      </c>
      <c r="D56" s="1" t="str">
        <f t="shared" si="1"/>
        <v>January</v>
      </c>
      <c r="E56">
        <f t="shared" si="2"/>
        <v>2009</v>
      </c>
      <c r="F56" t="s">
        <v>297</v>
      </c>
      <c r="G56" t="s">
        <v>1</v>
      </c>
      <c r="H56" t="s">
        <v>42</v>
      </c>
      <c r="I56" t="s">
        <v>48</v>
      </c>
      <c r="J56" t="s">
        <v>38</v>
      </c>
      <c r="K56" t="s">
        <v>20</v>
      </c>
      <c r="L56" t="s">
        <v>38</v>
      </c>
      <c r="M56" t="str">
        <f t="shared" si="3"/>
        <v>Win</v>
      </c>
      <c r="N56" t="s">
        <v>999</v>
      </c>
      <c r="O56" t="s">
        <v>1006</v>
      </c>
      <c r="P56" t="s">
        <v>550</v>
      </c>
    </row>
    <row r="57" spans="1:16" x14ac:dyDescent="0.3">
      <c r="A57" t="s">
        <v>634</v>
      </c>
      <c r="B57" s="1">
        <v>39830</v>
      </c>
      <c r="C57" s="1" t="str">
        <f t="shared" si="0"/>
        <v>Saturday</v>
      </c>
      <c r="D57" s="1" t="str">
        <f t="shared" si="1"/>
        <v>January</v>
      </c>
      <c r="E57">
        <f t="shared" si="2"/>
        <v>2009</v>
      </c>
      <c r="F57" t="s">
        <v>297</v>
      </c>
      <c r="G57" t="s">
        <v>1</v>
      </c>
      <c r="H57" t="s">
        <v>46</v>
      </c>
      <c r="I57" t="s">
        <v>48</v>
      </c>
      <c r="J57" t="s">
        <v>38</v>
      </c>
      <c r="K57" t="s">
        <v>34</v>
      </c>
      <c r="L57" t="s">
        <v>38</v>
      </c>
      <c r="M57" t="str">
        <f t="shared" si="3"/>
        <v>Win</v>
      </c>
      <c r="N57" t="s">
        <v>524</v>
      </c>
      <c r="O57" t="s">
        <v>1001</v>
      </c>
      <c r="P57" t="s">
        <v>1001</v>
      </c>
    </row>
    <row r="58" spans="1:16" x14ac:dyDescent="0.3">
      <c r="A58" t="s">
        <v>635</v>
      </c>
      <c r="B58" s="1">
        <v>39831</v>
      </c>
      <c r="C58" s="1" t="str">
        <f t="shared" si="0"/>
        <v>Sunday</v>
      </c>
      <c r="D58" s="1" t="str">
        <f t="shared" si="1"/>
        <v>January</v>
      </c>
      <c r="E58">
        <f t="shared" si="2"/>
        <v>2009</v>
      </c>
      <c r="F58" t="s">
        <v>297</v>
      </c>
      <c r="G58" t="s">
        <v>1</v>
      </c>
      <c r="H58" t="s">
        <v>47</v>
      </c>
      <c r="I58" t="s">
        <v>48</v>
      </c>
      <c r="J58" t="s">
        <v>38</v>
      </c>
      <c r="K58" t="s">
        <v>21</v>
      </c>
      <c r="L58" t="s">
        <v>21</v>
      </c>
      <c r="M58" t="str">
        <f t="shared" si="3"/>
        <v>Loss</v>
      </c>
      <c r="N58" t="s">
        <v>999</v>
      </c>
      <c r="O58" t="s">
        <v>1005</v>
      </c>
      <c r="P58" t="s">
        <v>406</v>
      </c>
    </row>
    <row r="59" spans="1:16" x14ac:dyDescent="0.3">
      <c r="A59" t="s">
        <v>636</v>
      </c>
      <c r="B59" s="1">
        <v>39876</v>
      </c>
      <c r="C59" s="1" t="str">
        <f t="shared" si="0"/>
        <v>Wednesday</v>
      </c>
      <c r="D59" s="1" t="str">
        <f t="shared" si="1"/>
        <v>March</v>
      </c>
      <c r="E59">
        <f t="shared" si="2"/>
        <v>2009</v>
      </c>
      <c r="F59" t="s">
        <v>304</v>
      </c>
      <c r="G59" t="s">
        <v>1</v>
      </c>
      <c r="H59" t="s">
        <v>17</v>
      </c>
      <c r="I59" t="s">
        <v>60</v>
      </c>
      <c r="J59" t="s">
        <v>38</v>
      </c>
      <c r="K59" t="s">
        <v>124</v>
      </c>
      <c r="L59" t="s">
        <v>38</v>
      </c>
      <c r="M59" t="str">
        <f t="shared" si="3"/>
        <v>Win</v>
      </c>
      <c r="N59" t="s">
        <v>409</v>
      </c>
      <c r="O59" t="s">
        <v>550</v>
      </c>
      <c r="P59" t="s">
        <v>1010</v>
      </c>
    </row>
    <row r="60" spans="1:16" x14ac:dyDescent="0.3">
      <c r="A60" t="s">
        <v>637</v>
      </c>
      <c r="B60" s="1">
        <v>39877</v>
      </c>
      <c r="C60" s="1" t="str">
        <f t="shared" si="0"/>
        <v>Thursday</v>
      </c>
      <c r="D60" s="1" t="str">
        <f t="shared" si="1"/>
        <v>March</v>
      </c>
      <c r="E60">
        <f t="shared" si="2"/>
        <v>2009</v>
      </c>
      <c r="F60" t="s">
        <v>304</v>
      </c>
      <c r="G60" t="s">
        <v>1</v>
      </c>
      <c r="H60" t="s">
        <v>40</v>
      </c>
      <c r="I60" t="s">
        <v>60</v>
      </c>
      <c r="J60" t="s">
        <v>38</v>
      </c>
      <c r="K60" t="s">
        <v>158</v>
      </c>
      <c r="L60" t="s">
        <v>38</v>
      </c>
      <c r="M60" t="str">
        <f t="shared" si="3"/>
        <v>Win</v>
      </c>
      <c r="N60" t="s">
        <v>385</v>
      </c>
      <c r="O60" t="s">
        <v>1001</v>
      </c>
      <c r="P60" t="s">
        <v>1001</v>
      </c>
    </row>
    <row r="61" spans="1:16" x14ac:dyDescent="0.3">
      <c r="A61" t="s">
        <v>638</v>
      </c>
      <c r="B61" s="1">
        <v>39878</v>
      </c>
      <c r="C61" s="1" t="str">
        <f t="shared" si="0"/>
        <v>Friday</v>
      </c>
      <c r="D61" s="1" t="str">
        <f t="shared" si="1"/>
        <v>March</v>
      </c>
      <c r="E61">
        <f t="shared" si="2"/>
        <v>2009</v>
      </c>
      <c r="F61" t="s">
        <v>304</v>
      </c>
      <c r="G61" t="s">
        <v>1</v>
      </c>
      <c r="H61" t="s">
        <v>42</v>
      </c>
      <c r="I61" t="s">
        <v>60</v>
      </c>
      <c r="J61" t="s">
        <v>38</v>
      </c>
      <c r="K61" t="s">
        <v>66</v>
      </c>
      <c r="L61" t="s">
        <v>38</v>
      </c>
      <c r="M61" t="str">
        <f t="shared" si="3"/>
        <v>Win</v>
      </c>
      <c r="N61" t="s">
        <v>1011</v>
      </c>
      <c r="O61" t="s">
        <v>1001</v>
      </c>
      <c r="P61" t="s">
        <v>1001</v>
      </c>
    </row>
    <row r="62" spans="1:16" x14ac:dyDescent="0.3">
      <c r="A62" t="s">
        <v>639</v>
      </c>
      <c r="B62" s="1">
        <v>39879</v>
      </c>
      <c r="C62" s="1" t="str">
        <f t="shared" si="0"/>
        <v>Saturday</v>
      </c>
      <c r="D62" s="1" t="str">
        <f t="shared" si="1"/>
        <v>March</v>
      </c>
      <c r="E62">
        <f t="shared" si="2"/>
        <v>2009</v>
      </c>
      <c r="F62" t="s">
        <v>304</v>
      </c>
      <c r="G62" t="s">
        <v>1</v>
      </c>
      <c r="H62" t="s">
        <v>46</v>
      </c>
      <c r="I62" t="s">
        <v>60</v>
      </c>
      <c r="J62" t="s">
        <v>38</v>
      </c>
      <c r="K62" t="s">
        <v>30</v>
      </c>
      <c r="L62" t="s">
        <v>38</v>
      </c>
      <c r="M62" t="str">
        <f t="shared" si="3"/>
        <v>Win</v>
      </c>
      <c r="N62" t="s">
        <v>1004</v>
      </c>
      <c r="O62" t="s">
        <v>1001</v>
      </c>
      <c r="P62" t="s">
        <v>1001</v>
      </c>
    </row>
    <row r="63" spans="1:16" x14ac:dyDescent="0.3">
      <c r="A63" t="s">
        <v>640</v>
      </c>
      <c r="B63" s="1">
        <v>39880</v>
      </c>
      <c r="C63" s="1" t="str">
        <f t="shared" si="0"/>
        <v>Sunday</v>
      </c>
      <c r="D63" s="1" t="str">
        <f t="shared" si="1"/>
        <v>March</v>
      </c>
      <c r="E63">
        <f t="shared" si="2"/>
        <v>2009</v>
      </c>
      <c r="F63" t="s">
        <v>304</v>
      </c>
      <c r="G63" t="s">
        <v>1</v>
      </c>
      <c r="H63" t="s">
        <v>47</v>
      </c>
      <c r="I63" t="s">
        <v>60</v>
      </c>
      <c r="J63" t="s">
        <v>38</v>
      </c>
      <c r="K63" t="s">
        <v>29</v>
      </c>
      <c r="L63" t="s">
        <v>29</v>
      </c>
      <c r="M63" t="str">
        <f t="shared" si="3"/>
        <v>Loss</v>
      </c>
      <c r="N63" t="s">
        <v>409</v>
      </c>
      <c r="O63" t="s">
        <v>1001</v>
      </c>
      <c r="P63" t="s">
        <v>1001</v>
      </c>
    </row>
    <row r="64" spans="1:16" x14ac:dyDescent="0.3">
      <c r="A64" t="s">
        <v>641</v>
      </c>
      <c r="B64" s="1">
        <v>39883</v>
      </c>
      <c r="C64" s="1" t="str">
        <f t="shared" si="0"/>
        <v>Wednesday</v>
      </c>
      <c r="D64" s="1" t="str">
        <f t="shared" si="1"/>
        <v>March</v>
      </c>
      <c r="E64">
        <f t="shared" si="2"/>
        <v>2009</v>
      </c>
      <c r="F64" t="s">
        <v>306</v>
      </c>
      <c r="G64" t="s">
        <v>1</v>
      </c>
      <c r="H64" t="s">
        <v>17</v>
      </c>
      <c r="I64" t="s">
        <v>77</v>
      </c>
      <c r="J64" t="s">
        <v>38</v>
      </c>
      <c r="K64" t="s">
        <v>135</v>
      </c>
      <c r="L64" t="s">
        <v>38</v>
      </c>
      <c r="M64" t="str">
        <f t="shared" si="3"/>
        <v>Win</v>
      </c>
      <c r="N64" t="s">
        <v>385</v>
      </c>
      <c r="O64" t="s">
        <v>1001</v>
      </c>
      <c r="P64" t="s">
        <v>1001</v>
      </c>
    </row>
    <row r="65" spans="1:16" x14ac:dyDescent="0.3">
      <c r="A65" t="s">
        <v>642</v>
      </c>
      <c r="B65" s="1">
        <v>39884</v>
      </c>
      <c r="C65" s="1" t="str">
        <f t="shared" si="0"/>
        <v>Thursday</v>
      </c>
      <c r="D65" s="1" t="str">
        <f t="shared" si="1"/>
        <v>March</v>
      </c>
      <c r="E65">
        <f t="shared" si="2"/>
        <v>2009</v>
      </c>
      <c r="F65" t="s">
        <v>306</v>
      </c>
      <c r="G65" t="s">
        <v>1</v>
      </c>
      <c r="H65" t="s">
        <v>40</v>
      </c>
      <c r="I65" t="s">
        <v>77</v>
      </c>
      <c r="J65" t="s">
        <v>38</v>
      </c>
      <c r="K65" t="s">
        <v>23</v>
      </c>
      <c r="L65" t="s">
        <v>38</v>
      </c>
      <c r="M65" t="str">
        <f t="shared" si="3"/>
        <v>Win</v>
      </c>
      <c r="N65" t="s">
        <v>1004</v>
      </c>
      <c r="O65" t="s">
        <v>1001</v>
      </c>
      <c r="P65" t="s">
        <v>1001</v>
      </c>
    </row>
    <row r="66" spans="1:16" x14ac:dyDescent="0.3">
      <c r="A66" t="s">
        <v>643</v>
      </c>
      <c r="B66" s="1">
        <v>39885</v>
      </c>
      <c r="C66" s="1" t="str">
        <f t="shared" si="0"/>
        <v>Friday</v>
      </c>
      <c r="D66" s="1" t="str">
        <f t="shared" si="1"/>
        <v>March</v>
      </c>
      <c r="E66">
        <f t="shared" si="2"/>
        <v>2009</v>
      </c>
      <c r="F66" t="s">
        <v>306</v>
      </c>
      <c r="G66" t="s">
        <v>1</v>
      </c>
      <c r="H66" t="s">
        <v>42</v>
      </c>
      <c r="I66" t="s">
        <v>77</v>
      </c>
      <c r="J66" t="s">
        <v>38</v>
      </c>
      <c r="K66" t="s">
        <v>30</v>
      </c>
      <c r="L66" t="s">
        <v>38</v>
      </c>
      <c r="M66" t="str">
        <f t="shared" si="3"/>
        <v>Win</v>
      </c>
      <c r="N66" t="s">
        <v>520</v>
      </c>
      <c r="O66" t="s">
        <v>998</v>
      </c>
      <c r="P66" t="s">
        <v>179</v>
      </c>
    </row>
    <row r="67" spans="1:16" x14ac:dyDescent="0.3">
      <c r="A67" t="s">
        <v>644</v>
      </c>
      <c r="B67" s="1">
        <v>39886</v>
      </c>
      <c r="C67" s="1" t="str">
        <f t="shared" ref="C67:C130" si="4">TEXT(B67,"dddd")</f>
        <v>Saturday</v>
      </c>
      <c r="D67" s="1" t="str">
        <f t="shared" ref="D67:D130" si="5">TEXT(B67,"mmmm")</f>
        <v>March</v>
      </c>
      <c r="E67">
        <f t="shared" ref="E67:E130" si="6">YEAR(B67)</f>
        <v>2009</v>
      </c>
      <c r="F67" t="s">
        <v>306</v>
      </c>
      <c r="G67" t="s">
        <v>1</v>
      </c>
      <c r="H67" t="s">
        <v>46</v>
      </c>
      <c r="I67" t="s">
        <v>77</v>
      </c>
      <c r="J67" t="s">
        <v>38</v>
      </c>
      <c r="K67" t="s">
        <v>149</v>
      </c>
      <c r="L67" t="s">
        <v>38</v>
      </c>
      <c r="M67" t="str">
        <f t="shared" ref="M67:M130" si="7">IF(L67=J67,"Win","Loss")</f>
        <v>Win</v>
      </c>
      <c r="N67" t="s">
        <v>998</v>
      </c>
      <c r="O67" t="s">
        <v>1000</v>
      </c>
      <c r="P67" t="s">
        <v>1011</v>
      </c>
    </row>
    <row r="68" spans="1:16" x14ac:dyDescent="0.3">
      <c r="A68" t="s">
        <v>645</v>
      </c>
      <c r="B68" s="1">
        <v>39887</v>
      </c>
      <c r="C68" s="1" t="str">
        <f t="shared" si="4"/>
        <v>Sunday</v>
      </c>
      <c r="D68" s="1" t="str">
        <f t="shared" si="5"/>
        <v>March</v>
      </c>
      <c r="E68">
        <f t="shared" si="6"/>
        <v>2009</v>
      </c>
      <c r="F68" t="s">
        <v>306</v>
      </c>
      <c r="G68" t="s">
        <v>1</v>
      </c>
      <c r="H68" t="s">
        <v>47</v>
      </c>
      <c r="I68" t="s">
        <v>77</v>
      </c>
      <c r="J68" t="s">
        <v>38</v>
      </c>
      <c r="K68" t="s">
        <v>29</v>
      </c>
      <c r="L68" t="s">
        <v>38</v>
      </c>
      <c r="M68" t="str">
        <f t="shared" si="7"/>
        <v>Win</v>
      </c>
      <c r="N68" t="s">
        <v>550</v>
      </c>
      <c r="O68" t="s">
        <v>1001</v>
      </c>
      <c r="P68" t="s">
        <v>1001</v>
      </c>
    </row>
    <row r="69" spans="1:16" x14ac:dyDescent="0.3">
      <c r="A69" t="s">
        <v>646</v>
      </c>
      <c r="B69" s="1">
        <v>39897</v>
      </c>
      <c r="C69" s="1" t="str">
        <f t="shared" si="4"/>
        <v>Wednesday</v>
      </c>
      <c r="D69" s="1" t="str">
        <f t="shared" si="5"/>
        <v>March</v>
      </c>
      <c r="E69">
        <f t="shared" si="6"/>
        <v>2009</v>
      </c>
      <c r="F69" t="s">
        <v>310</v>
      </c>
      <c r="G69" t="s">
        <v>219</v>
      </c>
      <c r="H69" t="s">
        <v>222</v>
      </c>
      <c r="I69" t="s">
        <v>311</v>
      </c>
      <c r="J69" t="s">
        <v>38</v>
      </c>
      <c r="K69" t="s">
        <v>253</v>
      </c>
      <c r="L69" t="s">
        <v>253</v>
      </c>
      <c r="M69" t="str">
        <f t="shared" si="7"/>
        <v>Loss</v>
      </c>
      <c r="N69" t="s">
        <v>1006</v>
      </c>
      <c r="O69" t="s">
        <v>505</v>
      </c>
      <c r="P69" t="s">
        <v>999</v>
      </c>
    </row>
    <row r="70" spans="1:16" x14ac:dyDescent="0.3">
      <c r="A70" t="s">
        <v>647</v>
      </c>
      <c r="B70" s="1">
        <v>39974</v>
      </c>
      <c r="C70" s="1" t="str">
        <f t="shared" si="4"/>
        <v>Wednesday</v>
      </c>
      <c r="D70" s="1" t="str">
        <f t="shared" si="5"/>
        <v>June</v>
      </c>
      <c r="E70">
        <f t="shared" si="6"/>
        <v>2009</v>
      </c>
      <c r="F70" t="s">
        <v>318</v>
      </c>
      <c r="G70" t="s">
        <v>1</v>
      </c>
      <c r="H70" t="s">
        <v>17</v>
      </c>
      <c r="I70" t="s">
        <v>319</v>
      </c>
      <c r="J70" t="s">
        <v>38</v>
      </c>
      <c r="K70" t="s">
        <v>25</v>
      </c>
      <c r="L70" t="s">
        <v>38</v>
      </c>
      <c r="M70" t="str">
        <f t="shared" si="7"/>
        <v>Win</v>
      </c>
      <c r="N70" t="s">
        <v>1010</v>
      </c>
      <c r="O70" t="s">
        <v>1001</v>
      </c>
      <c r="P70" t="s">
        <v>1001</v>
      </c>
    </row>
    <row r="71" spans="1:16" x14ac:dyDescent="0.3">
      <c r="A71" t="s">
        <v>648</v>
      </c>
      <c r="B71" s="1">
        <v>39975</v>
      </c>
      <c r="C71" s="1" t="str">
        <f t="shared" si="4"/>
        <v>Thursday</v>
      </c>
      <c r="D71" s="1" t="str">
        <f t="shared" si="5"/>
        <v>June</v>
      </c>
      <c r="E71">
        <f t="shared" si="6"/>
        <v>2009</v>
      </c>
      <c r="F71" t="s">
        <v>318</v>
      </c>
      <c r="G71" t="s">
        <v>1</v>
      </c>
      <c r="H71" t="s">
        <v>40</v>
      </c>
      <c r="I71" t="s">
        <v>319</v>
      </c>
      <c r="J71" t="s">
        <v>38</v>
      </c>
      <c r="K71" t="s">
        <v>9</v>
      </c>
      <c r="L71" t="s">
        <v>9</v>
      </c>
      <c r="M71" t="str">
        <f t="shared" si="7"/>
        <v>Loss</v>
      </c>
      <c r="N71" t="s">
        <v>1017</v>
      </c>
      <c r="O71" t="s">
        <v>522</v>
      </c>
      <c r="P71" t="s">
        <v>409</v>
      </c>
    </row>
    <row r="72" spans="1:16" x14ac:dyDescent="0.3">
      <c r="A72" t="s">
        <v>649</v>
      </c>
      <c r="B72" s="1">
        <v>39981</v>
      </c>
      <c r="C72" s="1" t="str">
        <f t="shared" si="4"/>
        <v>Wednesday</v>
      </c>
      <c r="D72" s="1" t="str">
        <f t="shared" si="5"/>
        <v>June</v>
      </c>
      <c r="E72">
        <f t="shared" si="6"/>
        <v>2009</v>
      </c>
      <c r="F72" t="s">
        <v>321</v>
      </c>
      <c r="G72" t="s">
        <v>1</v>
      </c>
      <c r="H72" t="s">
        <v>17</v>
      </c>
      <c r="I72" t="s">
        <v>322</v>
      </c>
      <c r="J72" t="s">
        <v>38</v>
      </c>
      <c r="K72" t="s">
        <v>158</v>
      </c>
      <c r="L72" t="s">
        <v>38</v>
      </c>
      <c r="M72" t="str">
        <f t="shared" si="7"/>
        <v>Win</v>
      </c>
      <c r="N72" t="s">
        <v>524</v>
      </c>
      <c r="O72" t="s">
        <v>1001</v>
      </c>
      <c r="P72" t="s">
        <v>1001</v>
      </c>
    </row>
    <row r="73" spans="1:16" x14ac:dyDescent="0.3">
      <c r="A73" t="s">
        <v>650</v>
      </c>
      <c r="B73" s="1">
        <v>39982</v>
      </c>
      <c r="C73" s="1" t="str">
        <f t="shared" si="4"/>
        <v>Thursday</v>
      </c>
      <c r="D73" s="1" t="str">
        <f t="shared" si="5"/>
        <v>June</v>
      </c>
      <c r="E73">
        <f t="shared" si="6"/>
        <v>2009</v>
      </c>
      <c r="F73" t="s">
        <v>321</v>
      </c>
      <c r="G73" t="s">
        <v>1</v>
      </c>
      <c r="H73" t="s">
        <v>40</v>
      </c>
      <c r="I73" t="s">
        <v>322</v>
      </c>
      <c r="J73" t="s">
        <v>38</v>
      </c>
      <c r="K73" t="s">
        <v>32</v>
      </c>
      <c r="L73" t="s">
        <v>38</v>
      </c>
      <c r="M73" t="str">
        <f t="shared" si="7"/>
        <v>Win</v>
      </c>
      <c r="N73" t="s">
        <v>1006</v>
      </c>
      <c r="O73" t="s">
        <v>409</v>
      </c>
      <c r="P73" t="s">
        <v>1006</v>
      </c>
    </row>
    <row r="74" spans="1:16" x14ac:dyDescent="0.3">
      <c r="A74" t="s">
        <v>651</v>
      </c>
      <c r="B74" s="1">
        <v>39983</v>
      </c>
      <c r="C74" s="1" t="str">
        <f t="shared" si="4"/>
        <v>Friday</v>
      </c>
      <c r="D74" s="1" t="str">
        <f t="shared" si="5"/>
        <v>June</v>
      </c>
      <c r="E74">
        <f t="shared" si="6"/>
        <v>2009</v>
      </c>
      <c r="F74" t="s">
        <v>321</v>
      </c>
      <c r="G74" t="s">
        <v>1</v>
      </c>
      <c r="H74" t="s">
        <v>42</v>
      </c>
      <c r="I74" t="s">
        <v>322</v>
      </c>
      <c r="J74" t="s">
        <v>38</v>
      </c>
      <c r="K74" t="s">
        <v>20</v>
      </c>
      <c r="L74" t="s">
        <v>38</v>
      </c>
      <c r="M74" t="str">
        <f t="shared" si="7"/>
        <v>Win</v>
      </c>
      <c r="N74" t="s">
        <v>1011</v>
      </c>
      <c r="O74" t="s">
        <v>1001</v>
      </c>
      <c r="P74" t="s">
        <v>1001</v>
      </c>
    </row>
    <row r="75" spans="1:16" x14ac:dyDescent="0.3">
      <c r="A75" t="s">
        <v>652</v>
      </c>
      <c r="B75" s="1">
        <v>39984</v>
      </c>
      <c r="C75" s="1" t="str">
        <f t="shared" si="4"/>
        <v>Saturday</v>
      </c>
      <c r="D75" s="1" t="str">
        <f t="shared" si="5"/>
        <v>June</v>
      </c>
      <c r="E75">
        <f t="shared" si="6"/>
        <v>2009</v>
      </c>
      <c r="F75" t="s">
        <v>321</v>
      </c>
      <c r="G75" t="s">
        <v>1</v>
      </c>
      <c r="H75" t="s">
        <v>46</v>
      </c>
      <c r="I75" t="s">
        <v>322</v>
      </c>
      <c r="J75" t="s">
        <v>38</v>
      </c>
      <c r="K75" t="s">
        <v>28</v>
      </c>
      <c r="L75" t="s">
        <v>38</v>
      </c>
      <c r="M75" t="str">
        <f t="shared" si="7"/>
        <v>Win</v>
      </c>
      <c r="N75" t="s">
        <v>1002</v>
      </c>
      <c r="O75" t="s">
        <v>1001</v>
      </c>
      <c r="P75" t="s">
        <v>1001</v>
      </c>
    </row>
    <row r="76" spans="1:16" x14ac:dyDescent="0.3">
      <c r="A76" t="s">
        <v>653</v>
      </c>
      <c r="B76" s="1">
        <v>39985</v>
      </c>
      <c r="C76" s="1" t="str">
        <f t="shared" si="4"/>
        <v>Sunday</v>
      </c>
      <c r="D76" s="1" t="str">
        <f t="shared" si="5"/>
        <v>June</v>
      </c>
      <c r="E76">
        <f t="shared" si="6"/>
        <v>2009</v>
      </c>
      <c r="F76" t="s">
        <v>321</v>
      </c>
      <c r="G76" t="s">
        <v>1</v>
      </c>
      <c r="H76" t="s">
        <v>47</v>
      </c>
      <c r="I76" t="s">
        <v>322</v>
      </c>
      <c r="J76" t="s">
        <v>38</v>
      </c>
      <c r="K76" t="s">
        <v>30</v>
      </c>
      <c r="L76" t="s">
        <v>38</v>
      </c>
      <c r="M76" t="str">
        <f t="shared" si="7"/>
        <v>Win</v>
      </c>
      <c r="N76" t="s">
        <v>1011</v>
      </c>
      <c r="O76" t="s">
        <v>1001</v>
      </c>
      <c r="P76" t="s">
        <v>1001</v>
      </c>
    </row>
    <row r="77" spans="1:16" x14ac:dyDescent="0.3">
      <c r="A77" t="s">
        <v>654</v>
      </c>
      <c r="B77" s="1">
        <v>39988</v>
      </c>
      <c r="C77" s="1" t="str">
        <f t="shared" si="4"/>
        <v>Wednesday</v>
      </c>
      <c r="D77" s="1" t="str">
        <f t="shared" si="5"/>
        <v>June</v>
      </c>
      <c r="E77">
        <f t="shared" si="6"/>
        <v>2009</v>
      </c>
      <c r="F77" t="s">
        <v>326</v>
      </c>
      <c r="G77" t="s">
        <v>219</v>
      </c>
      <c r="H77" t="s">
        <v>222</v>
      </c>
      <c r="I77" t="s">
        <v>327</v>
      </c>
      <c r="J77" t="s">
        <v>38</v>
      </c>
      <c r="K77" t="s">
        <v>210</v>
      </c>
      <c r="L77" t="s">
        <v>38</v>
      </c>
      <c r="M77" t="str">
        <f t="shared" si="7"/>
        <v>Win</v>
      </c>
      <c r="N77" t="s">
        <v>998</v>
      </c>
      <c r="O77" t="s">
        <v>1001</v>
      </c>
      <c r="P77" t="s">
        <v>1001</v>
      </c>
    </row>
    <row r="78" spans="1:16" x14ac:dyDescent="0.3">
      <c r="A78" t="s">
        <v>655</v>
      </c>
      <c r="B78" s="1">
        <v>39988</v>
      </c>
      <c r="C78" s="1" t="str">
        <f t="shared" si="4"/>
        <v>Wednesday</v>
      </c>
      <c r="D78" s="1" t="str">
        <f t="shared" si="5"/>
        <v>June</v>
      </c>
      <c r="E78">
        <f t="shared" si="6"/>
        <v>2009</v>
      </c>
      <c r="F78" t="s">
        <v>326</v>
      </c>
      <c r="G78" t="s">
        <v>219</v>
      </c>
      <c r="H78" t="s">
        <v>17</v>
      </c>
      <c r="I78" t="s">
        <v>327</v>
      </c>
      <c r="J78" t="s">
        <v>38</v>
      </c>
      <c r="K78" t="s">
        <v>330</v>
      </c>
      <c r="L78" t="s">
        <v>38</v>
      </c>
      <c r="M78" t="str">
        <f t="shared" si="7"/>
        <v>Win</v>
      </c>
      <c r="N78" t="s">
        <v>1011</v>
      </c>
      <c r="O78" t="s">
        <v>1001</v>
      </c>
      <c r="P78" t="s">
        <v>1001</v>
      </c>
    </row>
    <row r="79" spans="1:16" x14ac:dyDescent="0.3">
      <c r="A79" t="s">
        <v>656</v>
      </c>
      <c r="B79" s="1">
        <v>39989</v>
      </c>
      <c r="C79" s="1" t="str">
        <f t="shared" si="4"/>
        <v>Thursday</v>
      </c>
      <c r="D79" s="1" t="str">
        <f t="shared" si="5"/>
        <v>June</v>
      </c>
      <c r="E79">
        <f t="shared" si="6"/>
        <v>2009</v>
      </c>
      <c r="F79" t="s">
        <v>326</v>
      </c>
      <c r="G79" t="s">
        <v>219</v>
      </c>
      <c r="H79" t="s">
        <v>40</v>
      </c>
      <c r="I79" t="s">
        <v>327</v>
      </c>
      <c r="J79" t="s">
        <v>38</v>
      </c>
      <c r="K79" t="s">
        <v>168</v>
      </c>
      <c r="L79" t="s">
        <v>38</v>
      </c>
      <c r="M79" t="str">
        <f t="shared" si="7"/>
        <v>Win</v>
      </c>
      <c r="N79" t="s">
        <v>385</v>
      </c>
      <c r="O79" t="s">
        <v>1001</v>
      </c>
      <c r="P79" t="s">
        <v>1001</v>
      </c>
    </row>
    <row r="80" spans="1:16" x14ac:dyDescent="0.3">
      <c r="A80" t="s">
        <v>657</v>
      </c>
      <c r="B80" s="1">
        <v>39990</v>
      </c>
      <c r="C80" s="1" t="str">
        <f t="shared" si="4"/>
        <v>Friday</v>
      </c>
      <c r="D80" s="1" t="str">
        <f t="shared" si="5"/>
        <v>June</v>
      </c>
      <c r="E80">
        <f t="shared" si="6"/>
        <v>2009</v>
      </c>
      <c r="F80" t="s">
        <v>326</v>
      </c>
      <c r="G80" t="s">
        <v>219</v>
      </c>
      <c r="H80" t="s">
        <v>42</v>
      </c>
      <c r="I80" t="s">
        <v>327</v>
      </c>
      <c r="J80" t="s">
        <v>38</v>
      </c>
      <c r="K80" t="s">
        <v>135</v>
      </c>
      <c r="L80" t="s">
        <v>38</v>
      </c>
      <c r="M80" t="str">
        <f t="shared" si="7"/>
        <v>Win</v>
      </c>
      <c r="N80" t="s">
        <v>1011</v>
      </c>
      <c r="O80" t="s">
        <v>1001</v>
      </c>
      <c r="P80" t="s">
        <v>1001</v>
      </c>
    </row>
    <row r="81" spans="1:16" x14ac:dyDescent="0.3">
      <c r="A81" t="s">
        <v>658</v>
      </c>
      <c r="B81" s="1">
        <v>39991</v>
      </c>
      <c r="C81" s="1" t="str">
        <f t="shared" si="4"/>
        <v>Saturday</v>
      </c>
      <c r="D81" s="1" t="str">
        <f t="shared" si="5"/>
        <v>June</v>
      </c>
      <c r="E81">
        <f t="shared" si="6"/>
        <v>2009</v>
      </c>
      <c r="F81" t="s">
        <v>326</v>
      </c>
      <c r="G81" t="s">
        <v>219</v>
      </c>
      <c r="H81" t="s">
        <v>46</v>
      </c>
      <c r="I81" t="s">
        <v>327</v>
      </c>
      <c r="J81" t="s">
        <v>38</v>
      </c>
      <c r="K81" t="s">
        <v>220</v>
      </c>
      <c r="L81" t="s">
        <v>38</v>
      </c>
      <c r="M81" t="str">
        <f t="shared" si="7"/>
        <v>Win</v>
      </c>
      <c r="N81" t="s">
        <v>1011</v>
      </c>
      <c r="O81" t="s">
        <v>1001</v>
      </c>
      <c r="P81" t="s">
        <v>1001</v>
      </c>
    </row>
    <row r="82" spans="1:16" x14ac:dyDescent="0.3">
      <c r="A82" t="s">
        <v>659</v>
      </c>
      <c r="B82" s="1">
        <v>39992</v>
      </c>
      <c r="C82" s="1" t="str">
        <f t="shared" si="4"/>
        <v>Sunday</v>
      </c>
      <c r="D82" s="1" t="str">
        <f t="shared" si="5"/>
        <v>June</v>
      </c>
      <c r="E82">
        <f t="shared" si="6"/>
        <v>2009</v>
      </c>
      <c r="F82" t="s">
        <v>326</v>
      </c>
      <c r="G82" t="s">
        <v>219</v>
      </c>
      <c r="H82" t="s">
        <v>47</v>
      </c>
      <c r="I82" t="s">
        <v>327</v>
      </c>
      <c r="J82" t="s">
        <v>38</v>
      </c>
      <c r="K82" t="s">
        <v>253</v>
      </c>
      <c r="L82" t="s">
        <v>38</v>
      </c>
      <c r="M82" t="str">
        <f t="shared" si="7"/>
        <v>Win</v>
      </c>
      <c r="N82" t="s">
        <v>550</v>
      </c>
      <c r="O82" t="s">
        <v>1001</v>
      </c>
      <c r="P82" t="s">
        <v>1001</v>
      </c>
    </row>
    <row r="83" spans="1:16" x14ac:dyDescent="0.3">
      <c r="A83" t="s">
        <v>660</v>
      </c>
      <c r="B83" s="1">
        <v>40043</v>
      </c>
      <c r="C83" s="1" t="str">
        <f t="shared" si="4"/>
        <v>Tuesday</v>
      </c>
      <c r="D83" s="1" t="str">
        <f t="shared" si="5"/>
        <v>August</v>
      </c>
      <c r="E83">
        <f t="shared" si="6"/>
        <v>2009</v>
      </c>
      <c r="F83" t="s">
        <v>336</v>
      </c>
      <c r="G83" t="s">
        <v>219</v>
      </c>
      <c r="H83" t="s">
        <v>222</v>
      </c>
      <c r="I83" t="s">
        <v>337</v>
      </c>
      <c r="J83" t="s">
        <v>38</v>
      </c>
      <c r="K83" t="s">
        <v>329</v>
      </c>
      <c r="L83" t="s">
        <v>38</v>
      </c>
      <c r="M83" t="str">
        <f t="shared" si="7"/>
        <v>Win</v>
      </c>
      <c r="N83" t="s">
        <v>1011</v>
      </c>
      <c r="O83" t="s">
        <v>1001</v>
      </c>
      <c r="P83" t="s">
        <v>1001</v>
      </c>
    </row>
    <row r="84" spans="1:16" x14ac:dyDescent="0.3">
      <c r="A84" t="s">
        <v>661</v>
      </c>
      <c r="B84" s="1">
        <v>40044</v>
      </c>
      <c r="C84" s="1" t="str">
        <f t="shared" si="4"/>
        <v>Wednesday</v>
      </c>
      <c r="D84" s="1" t="str">
        <f t="shared" si="5"/>
        <v>August</v>
      </c>
      <c r="E84">
        <f t="shared" si="6"/>
        <v>2009</v>
      </c>
      <c r="F84" t="s">
        <v>336</v>
      </c>
      <c r="G84" t="s">
        <v>219</v>
      </c>
      <c r="H84" t="s">
        <v>17</v>
      </c>
      <c r="I84" t="s">
        <v>337</v>
      </c>
      <c r="J84" t="s">
        <v>38</v>
      </c>
      <c r="K84" t="s">
        <v>338</v>
      </c>
      <c r="L84" t="s">
        <v>38</v>
      </c>
      <c r="M84" t="str">
        <f t="shared" si="7"/>
        <v>Win</v>
      </c>
      <c r="N84" t="s">
        <v>524</v>
      </c>
      <c r="O84" t="s">
        <v>1001</v>
      </c>
      <c r="P84" t="s">
        <v>1001</v>
      </c>
    </row>
    <row r="85" spans="1:16" x14ac:dyDescent="0.3">
      <c r="A85" t="s">
        <v>662</v>
      </c>
      <c r="B85" s="1">
        <v>40045</v>
      </c>
      <c r="C85" s="1" t="str">
        <f t="shared" si="4"/>
        <v>Thursday</v>
      </c>
      <c r="D85" s="1" t="str">
        <f t="shared" si="5"/>
        <v>August</v>
      </c>
      <c r="E85">
        <f t="shared" si="6"/>
        <v>2009</v>
      </c>
      <c r="F85" t="s">
        <v>336</v>
      </c>
      <c r="G85" t="s">
        <v>219</v>
      </c>
      <c r="H85" t="s">
        <v>40</v>
      </c>
      <c r="I85" t="s">
        <v>337</v>
      </c>
      <c r="J85" t="s">
        <v>38</v>
      </c>
      <c r="K85" t="s">
        <v>328</v>
      </c>
      <c r="L85" t="s">
        <v>38</v>
      </c>
      <c r="M85" t="str">
        <f t="shared" si="7"/>
        <v>Win</v>
      </c>
      <c r="N85" t="s">
        <v>1011</v>
      </c>
      <c r="O85" t="s">
        <v>1001</v>
      </c>
      <c r="P85" t="s">
        <v>1001</v>
      </c>
    </row>
    <row r="86" spans="1:16" x14ac:dyDescent="0.3">
      <c r="A86" t="s">
        <v>663</v>
      </c>
      <c r="B86" s="1">
        <v>40046</v>
      </c>
      <c r="C86" s="1" t="str">
        <f t="shared" si="4"/>
        <v>Friday</v>
      </c>
      <c r="D86" s="1" t="str">
        <f t="shared" si="5"/>
        <v>August</v>
      </c>
      <c r="E86">
        <f t="shared" si="6"/>
        <v>2009</v>
      </c>
      <c r="F86" t="s">
        <v>336</v>
      </c>
      <c r="G86" t="s">
        <v>219</v>
      </c>
      <c r="H86" t="s">
        <v>42</v>
      </c>
      <c r="I86" t="s">
        <v>337</v>
      </c>
      <c r="J86" t="s">
        <v>38</v>
      </c>
      <c r="K86" t="s">
        <v>19</v>
      </c>
      <c r="L86" t="s">
        <v>38</v>
      </c>
      <c r="M86" t="str">
        <f t="shared" si="7"/>
        <v>Win</v>
      </c>
      <c r="N86" t="s">
        <v>1005</v>
      </c>
      <c r="O86" t="s">
        <v>1001</v>
      </c>
      <c r="P86" t="s">
        <v>1001</v>
      </c>
    </row>
    <row r="87" spans="1:16" x14ac:dyDescent="0.3">
      <c r="A87" t="s">
        <v>664</v>
      </c>
      <c r="B87" s="1">
        <v>40047</v>
      </c>
      <c r="C87" s="1" t="str">
        <f t="shared" si="4"/>
        <v>Saturday</v>
      </c>
      <c r="D87" s="1" t="str">
        <f t="shared" si="5"/>
        <v>August</v>
      </c>
      <c r="E87">
        <f t="shared" si="6"/>
        <v>2009</v>
      </c>
      <c r="F87" t="s">
        <v>336</v>
      </c>
      <c r="G87" t="s">
        <v>219</v>
      </c>
      <c r="H87" t="s">
        <v>46</v>
      </c>
      <c r="I87" t="s">
        <v>337</v>
      </c>
      <c r="J87" t="s">
        <v>38</v>
      </c>
      <c r="K87" t="s">
        <v>30</v>
      </c>
      <c r="L87" t="s">
        <v>38</v>
      </c>
      <c r="M87" t="str">
        <f t="shared" si="7"/>
        <v>Win</v>
      </c>
      <c r="N87" t="s">
        <v>385</v>
      </c>
      <c r="O87" t="s">
        <v>1001</v>
      </c>
      <c r="P87" t="s">
        <v>1001</v>
      </c>
    </row>
    <row r="88" spans="1:16" x14ac:dyDescent="0.3">
      <c r="A88" t="s">
        <v>665</v>
      </c>
      <c r="B88" s="1">
        <v>40048</v>
      </c>
      <c r="C88" s="1" t="str">
        <f t="shared" si="4"/>
        <v>Sunday</v>
      </c>
      <c r="D88" s="1" t="str">
        <f t="shared" si="5"/>
        <v>August</v>
      </c>
      <c r="E88">
        <f t="shared" si="6"/>
        <v>2009</v>
      </c>
      <c r="F88" t="s">
        <v>336</v>
      </c>
      <c r="G88" t="s">
        <v>219</v>
      </c>
      <c r="H88" t="s">
        <v>47</v>
      </c>
      <c r="I88" t="s">
        <v>337</v>
      </c>
      <c r="J88" t="s">
        <v>38</v>
      </c>
      <c r="K88" t="s">
        <v>7</v>
      </c>
      <c r="L88" t="s">
        <v>38</v>
      </c>
      <c r="M88" t="str">
        <f t="shared" si="7"/>
        <v>Win</v>
      </c>
      <c r="N88" t="s">
        <v>1002</v>
      </c>
      <c r="O88" t="s">
        <v>1001</v>
      </c>
      <c r="P88" t="s">
        <v>1001</v>
      </c>
    </row>
    <row r="89" spans="1:16" x14ac:dyDescent="0.3">
      <c r="A89" t="s">
        <v>666</v>
      </c>
      <c r="B89" s="1">
        <v>40072</v>
      </c>
      <c r="C89" s="1" t="str">
        <f t="shared" si="4"/>
        <v>Wednesday</v>
      </c>
      <c r="D89" s="1" t="str">
        <f t="shared" si="5"/>
        <v>September</v>
      </c>
      <c r="E89">
        <f t="shared" si="6"/>
        <v>2009</v>
      </c>
      <c r="F89" t="s">
        <v>341</v>
      </c>
      <c r="G89" t="s">
        <v>1</v>
      </c>
      <c r="H89" t="s">
        <v>17</v>
      </c>
      <c r="I89" t="s">
        <v>342</v>
      </c>
      <c r="J89" t="s">
        <v>38</v>
      </c>
      <c r="K89" t="s">
        <v>122</v>
      </c>
      <c r="L89" t="s">
        <v>38</v>
      </c>
      <c r="M89" t="str">
        <f t="shared" si="7"/>
        <v>Win</v>
      </c>
      <c r="N89" t="s">
        <v>1004</v>
      </c>
      <c r="O89" t="s">
        <v>1001</v>
      </c>
      <c r="P89" t="s">
        <v>1001</v>
      </c>
    </row>
    <row r="90" spans="1:16" x14ac:dyDescent="0.3">
      <c r="A90" t="s">
        <v>667</v>
      </c>
      <c r="B90" s="1">
        <v>40073</v>
      </c>
      <c r="C90" s="1" t="str">
        <f t="shared" si="4"/>
        <v>Thursday</v>
      </c>
      <c r="D90" s="1" t="str">
        <f t="shared" si="5"/>
        <v>September</v>
      </c>
      <c r="E90">
        <f t="shared" si="6"/>
        <v>2009</v>
      </c>
      <c r="F90" t="s">
        <v>341</v>
      </c>
      <c r="G90" t="s">
        <v>1</v>
      </c>
      <c r="H90" t="s">
        <v>40</v>
      </c>
      <c r="I90" t="s">
        <v>342</v>
      </c>
      <c r="J90" t="s">
        <v>38</v>
      </c>
      <c r="K90" t="s">
        <v>62</v>
      </c>
      <c r="L90" t="s">
        <v>38</v>
      </c>
      <c r="M90" t="str">
        <f t="shared" si="7"/>
        <v>Win</v>
      </c>
      <c r="N90" t="s">
        <v>1002</v>
      </c>
      <c r="O90" t="s">
        <v>1001</v>
      </c>
      <c r="P90" t="s">
        <v>1001</v>
      </c>
    </row>
    <row r="91" spans="1:16" x14ac:dyDescent="0.3">
      <c r="A91" t="s">
        <v>668</v>
      </c>
      <c r="B91" s="1">
        <v>40074</v>
      </c>
      <c r="C91" s="1" t="str">
        <f t="shared" si="4"/>
        <v>Friday</v>
      </c>
      <c r="D91" s="1" t="str">
        <f t="shared" si="5"/>
        <v>September</v>
      </c>
      <c r="E91">
        <f t="shared" si="6"/>
        <v>2009</v>
      </c>
      <c r="F91" t="s">
        <v>341</v>
      </c>
      <c r="G91" t="s">
        <v>1</v>
      </c>
      <c r="H91" t="s">
        <v>42</v>
      </c>
      <c r="I91" t="s">
        <v>342</v>
      </c>
      <c r="J91" t="s">
        <v>38</v>
      </c>
      <c r="K91" t="s">
        <v>120</v>
      </c>
      <c r="L91" t="s">
        <v>38</v>
      </c>
      <c r="M91" t="str">
        <f t="shared" si="7"/>
        <v>Win</v>
      </c>
      <c r="N91" t="s">
        <v>179</v>
      </c>
      <c r="O91" t="s">
        <v>1001</v>
      </c>
      <c r="P91" t="s">
        <v>1001</v>
      </c>
    </row>
    <row r="92" spans="1:16" x14ac:dyDescent="0.3">
      <c r="A92" t="s">
        <v>669</v>
      </c>
      <c r="B92" s="1">
        <v>40075</v>
      </c>
      <c r="C92" s="1" t="str">
        <f t="shared" si="4"/>
        <v>Saturday</v>
      </c>
      <c r="D92" s="1" t="str">
        <f t="shared" si="5"/>
        <v>September</v>
      </c>
      <c r="E92">
        <f t="shared" si="6"/>
        <v>2009</v>
      </c>
      <c r="F92" t="s">
        <v>341</v>
      </c>
      <c r="G92" t="s">
        <v>1</v>
      </c>
      <c r="H92" t="s">
        <v>46</v>
      </c>
      <c r="I92" t="s">
        <v>342</v>
      </c>
      <c r="J92" t="s">
        <v>38</v>
      </c>
      <c r="K92" t="s">
        <v>29</v>
      </c>
      <c r="L92" t="s">
        <v>29</v>
      </c>
      <c r="M92" t="str">
        <f t="shared" si="7"/>
        <v>Loss</v>
      </c>
      <c r="N92" t="s">
        <v>1000</v>
      </c>
      <c r="O92" t="s">
        <v>1002</v>
      </c>
      <c r="P92" t="s">
        <v>1018</v>
      </c>
    </row>
    <row r="93" spans="1:16" x14ac:dyDescent="0.3">
      <c r="A93" t="s">
        <v>670</v>
      </c>
      <c r="B93" s="1">
        <v>40079</v>
      </c>
      <c r="C93" s="1" t="str">
        <f t="shared" si="4"/>
        <v>Wednesday</v>
      </c>
      <c r="D93" s="1" t="str">
        <f t="shared" si="5"/>
        <v>September</v>
      </c>
      <c r="E93">
        <f t="shared" si="6"/>
        <v>2009</v>
      </c>
      <c r="F93" t="s">
        <v>347</v>
      </c>
      <c r="G93" t="s">
        <v>1</v>
      </c>
      <c r="H93" t="s">
        <v>17</v>
      </c>
      <c r="I93" t="s">
        <v>348</v>
      </c>
      <c r="J93" t="s">
        <v>38</v>
      </c>
      <c r="K93" t="s">
        <v>23</v>
      </c>
      <c r="L93" t="s">
        <v>38</v>
      </c>
      <c r="M93" t="str">
        <f t="shared" si="7"/>
        <v>Win</v>
      </c>
      <c r="N93" t="s">
        <v>1011</v>
      </c>
      <c r="O93" t="s">
        <v>1001</v>
      </c>
      <c r="P93" t="s">
        <v>1001</v>
      </c>
    </row>
    <row r="94" spans="1:16" x14ac:dyDescent="0.3">
      <c r="A94" t="s">
        <v>671</v>
      </c>
      <c r="B94" s="1">
        <v>40080</v>
      </c>
      <c r="C94" s="1" t="str">
        <f t="shared" si="4"/>
        <v>Thursday</v>
      </c>
      <c r="D94" s="1" t="str">
        <f t="shared" si="5"/>
        <v>September</v>
      </c>
      <c r="E94">
        <f t="shared" si="6"/>
        <v>2009</v>
      </c>
      <c r="F94" t="s">
        <v>347</v>
      </c>
      <c r="G94" t="s">
        <v>1</v>
      </c>
      <c r="H94" t="s">
        <v>40</v>
      </c>
      <c r="I94" t="s">
        <v>348</v>
      </c>
      <c r="J94" t="s">
        <v>38</v>
      </c>
      <c r="K94" t="s">
        <v>68</v>
      </c>
      <c r="L94" t="s">
        <v>68</v>
      </c>
      <c r="M94" t="str">
        <f t="shared" si="7"/>
        <v>Loss</v>
      </c>
      <c r="N94" t="s">
        <v>179</v>
      </c>
      <c r="O94" t="s">
        <v>566</v>
      </c>
      <c r="P94" t="s">
        <v>409</v>
      </c>
    </row>
    <row r="95" spans="1:16" x14ac:dyDescent="0.3">
      <c r="A95" t="s">
        <v>672</v>
      </c>
      <c r="B95" s="1">
        <v>40128</v>
      </c>
      <c r="C95" s="1" t="str">
        <f t="shared" si="4"/>
        <v>Wednesday</v>
      </c>
      <c r="D95" s="1" t="str">
        <f t="shared" si="5"/>
        <v>November</v>
      </c>
      <c r="E95">
        <f t="shared" si="6"/>
        <v>2009</v>
      </c>
      <c r="F95" t="s">
        <v>355</v>
      </c>
      <c r="G95" t="s">
        <v>1</v>
      </c>
      <c r="H95" t="s">
        <v>17</v>
      </c>
      <c r="I95" t="s">
        <v>356</v>
      </c>
      <c r="J95" t="s">
        <v>38</v>
      </c>
      <c r="K95" t="s">
        <v>35</v>
      </c>
      <c r="L95" t="s">
        <v>38</v>
      </c>
      <c r="M95" t="str">
        <f t="shared" si="7"/>
        <v>Win</v>
      </c>
      <c r="N95" t="s">
        <v>1011</v>
      </c>
      <c r="O95" t="s">
        <v>1001</v>
      </c>
      <c r="P95" t="s">
        <v>1001</v>
      </c>
    </row>
    <row r="96" spans="1:16" x14ac:dyDescent="0.3">
      <c r="A96" t="s">
        <v>673</v>
      </c>
      <c r="B96" s="1">
        <v>40129</v>
      </c>
      <c r="C96" s="1" t="str">
        <f t="shared" si="4"/>
        <v>Thursday</v>
      </c>
      <c r="D96" s="1" t="str">
        <f t="shared" si="5"/>
        <v>November</v>
      </c>
      <c r="E96">
        <f t="shared" si="6"/>
        <v>2009</v>
      </c>
      <c r="F96" t="s">
        <v>355</v>
      </c>
      <c r="G96" t="s">
        <v>1</v>
      </c>
      <c r="H96" t="s">
        <v>40</v>
      </c>
      <c r="I96" t="s">
        <v>356</v>
      </c>
      <c r="J96" t="s">
        <v>38</v>
      </c>
      <c r="K96" t="s">
        <v>120</v>
      </c>
      <c r="L96" t="s">
        <v>38</v>
      </c>
      <c r="M96" t="str">
        <f t="shared" si="7"/>
        <v>Win</v>
      </c>
      <c r="N96" t="s">
        <v>550</v>
      </c>
      <c r="O96" t="s">
        <v>1001</v>
      </c>
      <c r="P96" t="s">
        <v>1001</v>
      </c>
    </row>
    <row r="97" spans="1:16" x14ac:dyDescent="0.3">
      <c r="A97" t="s">
        <v>674</v>
      </c>
      <c r="B97" s="1">
        <v>40130</v>
      </c>
      <c r="C97" s="1" t="str">
        <f t="shared" si="4"/>
        <v>Friday</v>
      </c>
      <c r="D97" s="1" t="str">
        <f t="shared" si="5"/>
        <v>November</v>
      </c>
      <c r="E97">
        <f t="shared" si="6"/>
        <v>2009</v>
      </c>
      <c r="F97" t="s">
        <v>355</v>
      </c>
      <c r="G97" t="s">
        <v>1</v>
      </c>
      <c r="H97" t="s">
        <v>42</v>
      </c>
      <c r="I97" t="s">
        <v>356</v>
      </c>
      <c r="J97" t="s">
        <v>38</v>
      </c>
      <c r="K97" t="s">
        <v>32</v>
      </c>
      <c r="L97" t="s">
        <v>38</v>
      </c>
      <c r="M97" t="str">
        <f t="shared" si="7"/>
        <v>Win</v>
      </c>
      <c r="N97" t="s">
        <v>1019</v>
      </c>
      <c r="O97" t="s">
        <v>1002</v>
      </c>
      <c r="P97" t="s">
        <v>1020</v>
      </c>
    </row>
    <row r="98" spans="1:16" x14ac:dyDescent="0.3">
      <c r="A98" t="s">
        <v>675</v>
      </c>
      <c r="B98" s="1">
        <v>40131</v>
      </c>
      <c r="C98" s="1" t="str">
        <f t="shared" si="4"/>
        <v>Saturday</v>
      </c>
      <c r="D98" s="1" t="str">
        <f t="shared" si="5"/>
        <v>November</v>
      </c>
      <c r="E98">
        <f t="shared" si="6"/>
        <v>2009</v>
      </c>
      <c r="F98" t="s">
        <v>355</v>
      </c>
      <c r="G98" t="s">
        <v>1</v>
      </c>
      <c r="H98" t="s">
        <v>46</v>
      </c>
      <c r="I98" t="s">
        <v>356</v>
      </c>
      <c r="J98" t="s">
        <v>38</v>
      </c>
      <c r="K98" t="s">
        <v>39</v>
      </c>
      <c r="L98" t="s">
        <v>38</v>
      </c>
      <c r="M98" t="str">
        <f t="shared" si="7"/>
        <v>Win</v>
      </c>
      <c r="N98" t="s">
        <v>524</v>
      </c>
      <c r="O98" t="s">
        <v>1001</v>
      </c>
      <c r="P98" t="s">
        <v>1001</v>
      </c>
    </row>
    <row r="99" spans="1:16" x14ac:dyDescent="0.3">
      <c r="A99" t="s">
        <v>676</v>
      </c>
      <c r="B99" s="1">
        <v>40132</v>
      </c>
      <c r="C99" s="1" t="str">
        <f t="shared" si="4"/>
        <v>Sunday</v>
      </c>
      <c r="D99" s="1" t="str">
        <f t="shared" si="5"/>
        <v>November</v>
      </c>
      <c r="E99">
        <f t="shared" si="6"/>
        <v>2009</v>
      </c>
      <c r="F99" t="s">
        <v>355</v>
      </c>
      <c r="G99" t="s">
        <v>1</v>
      </c>
      <c r="H99" t="s">
        <v>47</v>
      </c>
      <c r="I99" t="s">
        <v>356</v>
      </c>
      <c r="J99" t="s">
        <v>38</v>
      </c>
      <c r="K99" t="s">
        <v>21</v>
      </c>
      <c r="L99" t="s">
        <v>38</v>
      </c>
      <c r="M99" t="str">
        <f t="shared" si="7"/>
        <v>Win</v>
      </c>
      <c r="N99" t="s">
        <v>203</v>
      </c>
      <c r="O99" t="s">
        <v>436</v>
      </c>
      <c r="P99" t="s">
        <v>550</v>
      </c>
    </row>
    <row r="100" spans="1:16" x14ac:dyDescent="0.3">
      <c r="A100" t="s">
        <v>677</v>
      </c>
      <c r="B100" s="1">
        <v>40135</v>
      </c>
      <c r="C100" s="1" t="str">
        <f t="shared" si="4"/>
        <v>Wednesday</v>
      </c>
      <c r="D100" s="1" t="str">
        <f t="shared" si="5"/>
        <v>November</v>
      </c>
      <c r="E100">
        <f t="shared" si="6"/>
        <v>2009</v>
      </c>
      <c r="F100" t="s">
        <v>359</v>
      </c>
      <c r="G100" t="s">
        <v>1</v>
      </c>
      <c r="H100" t="s">
        <v>17</v>
      </c>
      <c r="I100" t="s">
        <v>360</v>
      </c>
      <c r="J100" t="s">
        <v>38</v>
      </c>
      <c r="K100" t="s">
        <v>149</v>
      </c>
      <c r="L100" t="s">
        <v>149</v>
      </c>
      <c r="M100" t="str">
        <f t="shared" si="7"/>
        <v>Loss</v>
      </c>
      <c r="N100" t="s">
        <v>1021</v>
      </c>
      <c r="O100" t="s">
        <v>203</v>
      </c>
      <c r="P100" t="s">
        <v>406</v>
      </c>
    </row>
    <row r="101" spans="1:16" x14ac:dyDescent="0.3">
      <c r="A101" t="s">
        <v>678</v>
      </c>
      <c r="B101" s="1">
        <v>40149</v>
      </c>
      <c r="C101" s="1" t="str">
        <f t="shared" si="4"/>
        <v>Wednesday</v>
      </c>
      <c r="D101" s="1" t="str">
        <f t="shared" si="5"/>
        <v>December</v>
      </c>
      <c r="E101">
        <f t="shared" si="6"/>
        <v>2009</v>
      </c>
      <c r="F101" t="s">
        <v>362</v>
      </c>
      <c r="G101" t="s">
        <v>286</v>
      </c>
      <c r="H101" t="s">
        <v>287</v>
      </c>
      <c r="J101" t="s">
        <v>38</v>
      </c>
      <c r="K101" t="s">
        <v>80</v>
      </c>
      <c r="L101" t="s">
        <v>38</v>
      </c>
      <c r="M101" t="str">
        <f t="shared" si="7"/>
        <v>Win</v>
      </c>
      <c r="N101" t="s">
        <v>1010</v>
      </c>
      <c r="O101" t="s">
        <v>1001</v>
      </c>
      <c r="P101" t="s">
        <v>1001</v>
      </c>
    </row>
    <row r="102" spans="1:16" x14ac:dyDescent="0.3">
      <c r="A102" t="s">
        <v>679</v>
      </c>
      <c r="B102" s="1">
        <v>40150</v>
      </c>
      <c r="C102" s="1" t="str">
        <f t="shared" si="4"/>
        <v>Thursday</v>
      </c>
      <c r="D102" s="1" t="str">
        <f t="shared" si="5"/>
        <v>December</v>
      </c>
      <c r="E102">
        <f t="shared" si="6"/>
        <v>2009</v>
      </c>
      <c r="F102" t="s">
        <v>362</v>
      </c>
      <c r="G102" t="s">
        <v>286</v>
      </c>
      <c r="H102" t="s">
        <v>289</v>
      </c>
      <c r="J102" t="s">
        <v>38</v>
      </c>
      <c r="K102" t="s">
        <v>30</v>
      </c>
      <c r="L102" t="s">
        <v>38</v>
      </c>
      <c r="M102" t="str">
        <f t="shared" si="7"/>
        <v>Win</v>
      </c>
      <c r="N102" t="s">
        <v>1012</v>
      </c>
      <c r="O102" t="s">
        <v>1001</v>
      </c>
      <c r="P102" t="s">
        <v>1001</v>
      </c>
    </row>
    <row r="103" spans="1:16" x14ac:dyDescent="0.3">
      <c r="A103" t="s">
        <v>680</v>
      </c>
      <c r="B103" s="1">
        <v>40151</v>
      </c>
      <c r="C103" s="1" t="str">
        <f t="shared" si="4"/>
        <v>Friday</v>
      </c>
      <c r="D103" s="1" t="str">
        <f t="shared" si="5"/>
        <v>December</v>
      </c>
      <c r="E103">
        <f t="shared" si="6"/>
        <v>2009</v>
      </c>
      <c r="F103" t="s">
        <v>362</v>
      </c>
      <c r="G103" t="s">
        <v>286</v>
      </c>
      <c r="H103" t="s">
        <v>288</v>
      </c>
      <c r="J103" t="s">
        <v>38</v>
      </c>
      <c r="K103" t="s">
        <v>39</v>
      </c>
      <c r="L103" t="s">
        <v>38</v>
      </c>
      <c r="M103" t="str">
        <f t="shared" si="7"/>
        <v>Win</v>
      </c>
      <c r="N103" t="s">
        <v>203</v>
      </c>
      <c r="O103" t="s">
        <v>1001</v>
      </c>
      <c r="P103" t="s">
        <v>1001</v>
      </c>
    </row>
    <row r="104" spans="1:16" x14ac:dyDescent="0.3">
      <c r="A104" t="s">
        <v>681</v>
      </c>
      <c r="B104" s="1">
        <v>40152</v>
      </c>
      <c r="C104" s="1" t="str">
        <f t="shared" si="4"/>
        <v>Saturday</v>
      </c>
      <c r="D104" s="1" t="str">
        <f t="shared" si="5"/>
        <v>December</v>
      </c>
      <c r="E104">
        <f t="shared" si="6"/>
        <v>2009</v>
      </c>
      <c r="F104" t="s">
        <v>362</v>
      </c>
      <c r="G104" t="s">
        <v>286</v>
      </c>
      <c r="H104" t="s">
        <v>46</v>
      </c>
      <c r="J104" t="s">
        <v>38</v>
      </c>
      <c r="K104" t="s">
        <v>21</v>
      </c>
      <c r="L104" t="s">
        <v>38</v>
      </c>
      <c r="M104" t="str">
        <f t="shared" si="7"/>
        <v>Win</v>
      </c>
      <c r="N104" t="s">
        <v>524</v>
      </c>
      <c r="O104" t="s">
        <v>1001</v>
      </c>
      <c r="P104" t="s">
        <v>1001</v>
      </c>
    </row>
    <row r="105" spans="1:16" x14ac:dyDescent="0.3">
      <c r="A105" t="s">
        <v>682</v>
      </c>
      <c r="B105" s="1">
        <v>40153</v>
      </c>
      <c r="C105" s="1" t="str">
        <f t="shared" si="4"/>
        <v>Sunday</v>
      </c>
      <c r="D105" s="1" t="str">
        <f t="shared" si="5"/>
        <v>December</v>
      </c>
      <c r="E105">
        <f t="shared" si="6"/>
        <v>2009</v>
      </c>
      <c r="F105" t="s">
        <v>362</v>
      </c>
      <c r="G105" t="s">
        <v>286</v>
      </c>
      <c r="H105" t="s">
        <v>47</v>
      </c>
      <c r="J105" t="s">
        <v>38</v>
      </c>
      <c r="K105" t="s">
        <v>20</v>
      </c>
      <c r="L105" t="s">
        <v>38</v>
      </c>
      <c r="M105" t="str">
        <f t="shared" si="7"/>
        <v>Win</v>
      </c>
      <c r="N105" t="s">
        <v>524</v>
      </c>
      <c r="O105" t="s">
        <v>1001</v>
      </c>
      <c r="P105" t="s">
        <v>1001</v>
      </c>
    </row>
    <row r="106" spans="1:16" x14ac:dyDescent="0.3">
      <c r="A106" t="s">
        <v>683</v>
      </c>
      <c r="B106" s="1">
        <v>40191</v>
      </c>
      <c r="C106" s="1" t="str">
        <f t="shared" si="4"/>
        <v>Wednesday</v>
      </c>
      <c r="D106" s="1" t="str">
        <f t="shared" si="5"/>
        <v>January</v>
      </c>
      <c r="E106">
        <f t="shared" si="6"/>
        <v>2010</v>
      </c>
      <c r="F106" t="s">
        <v>364</v>
      </c>
      <c r="G106" t="s">
        <v>1</v>
      </c>
      <c r="H106" t="s">
        <v>17</v>
      </c>
      <c r="I106" t="s">
        <v>365</v>
      </c>
      <c r="J106" t="s">
        <v>38</v>
      </c>
      <c r="K106" t="s">
        <v>25</v>
      </c>
      <c r="L106" t="s">
        <v>38</v>
      </c>
      <c r="M106" t="str">
        <f t="shared" si="7"/>
        <v>Win</v>
      </c>
      <c r="N106" t="s">
        <v>1022</v>
      </c>
      <c r="O106" t="s">
        <v>1001</v>
      </c>
      <c r="P106" t="s">
        <v>1001</v>
      </c>
    </row>
    <row r="107" spans="1:16" x14ac:dyDescent="0.3">
      <c r="A107" t="s">
        <v>684</v>
      </c>
      <c r="B107" s="1">
        <v>40192</v>
      </c>
      <c r="C107" s="1" t="str">
        <f t="shared" si="4"/>
        <v>Thursday</v>
      </c>
      <c r="D107" s="1" t="str">
        <f t="shared" si="5"/>
        <v>January</v>
      </c>
      <c r="E107">
        <f t="shared" si="6"/>
        <v>2010</v>
      </c>
      <c r="F107" t="s">
        <v>364</v>
      </c>
      <c r="G107" t="s">
        <v>1</v>
      </c>
      <c r="H107" t="s">
        <v>40</v>
      </c>
      <c r="I107" t="s">
        <v>365</v>
      </c>
      <c r="J107" t="s">
        <v>38</v>
      </c>
      <c r="K107" t="s">
        <v>158</v>
      </c>
      <c r="L107" t="s">
        <v>38</v>
      </c>
      <c r="M107" t="str">
        <f t="shared" si="7"/>
        <v>Win</v>
      </c>
      <c r="N107" t="s">
        <v>385</v>
      </c>
      <c r="O107" t="s">
        <v>1001</v>
      </c>
      <c r="P107" t="s">
        <v>1001</v>
      </c>
    </row>
    <row r="108" spans="1:16" x14ac:dyDescent="0.3">
      <c r="A108" t="s">
        <v>685</v>
      </c>
      <c r="B108" s="1">
        <v>40193</v>
      </c>
      <c r="C108" s="1" t="str">
        <f t="shared" si="4"/>
        <v>Friday</v>
      </c>
      <c r="D108" s="1" t="str">
        <f t="shared" si="5"/>
        <v>January</v>
      </c>
      <c r="E108">
        <f t="shared" si="6"/>
        <v>2010</v>
      </c>
      <c r="F108" t="s">
        <v>364</v>
      </c>
      <c r="G108" t="s">
        <v>1</v>
      </c>
      <c r="H108" t="s">
        <v>42</v>
      </c>
      <c r="I108" t="s">
        <v>365</v>
      </c>
      <c r="J108" t="s">
        <v>38</v>
      </c>
      <c r="K108" t="s">
        <v>23</v>
      </c>
      <c r="L108" t="s">
        <v>38</v>
      </c>
      <c r="M108" t="str">
        <f t="shared" si="7"/>
        <v>Win</v>
      </c>
      <c r="N108" t="s">
        <v>485</v>
      </c>
      <c r="O108" t="s">
        <v>1001</v>
      </c>
      <c r="P108" t="s">
        <v>1001</v>
      </c>
    </row>
    <row r="109" spans="1:16" x14ac:dyDescent="0.3">
      <c r="A109" t="s">
        <v>686</v>
      </c>
      <c r="B109" s="1">
        <v>40194</v>
      </c>
      <c r="C109" s="1" t="str">
        <f t="shared" si="4"/>
        <v>Saturday</v>
      </c>
      <c r="D109" s="1" t="str">
        <f t="shared" si="5"/>
        <v>January</v>
      </c>
      <c r="E109">
        <f t="shared" si="6"/>
        <v>2010</v>
      </c>
      <c r="F109" t="s">
        <v>364</v>
      </c>
      <c r="G109" t="s">
        <v>1</v>
      </c>
      <c r="H109" t="s">
        <v>46</v>
      </c>
      <c r="I109" t="s">
        <v>365</v>
      </c>
      <c r="J109" t="s">
        <v>38</v>
      </c>
      <c r="K109" t="s">
        <v>28</v>
      </c>
      <c r="L109" t="s">
        <v>38</v>
      </c>
      <c r="M109" t="str">
        <f t="shared" si="7"/>
        <v>Win</v>
      </c>
      <c r="N109" t="s">
        <v>1010</v>
      </c>
      <c r="O109" t="s">
        <v>1001</v>
      </c>
      <c r="P109" t="s">
        <v>1001</v>
      </c>
    </row>
    <row r="110" spans="1:16" x14ac:dyDescent="0.3">
      <c r="A110" t="s">
        <v>687</v>
      </c>
      <c r="B110" s="1">
        <v>40195</v>
      </c>
      <c r="C110" s="1" t="str">
        <f t="shared" si="4"/>
        <v>Sunday</v>
      </c>
      <c r="D110" s="1" t="str">
        <f t="shared" si="5"/>
        <v>January</v>
      </c>
      <c r="E110">
        <f t="shared" si="6"/>
        <v>2010</v>
      </c>
      <c r="F110" t="s">
        <v>364</v>
      </c>
      <c r="G110" t="s">
        <v>1</v>
      </c>
      <c r="H110" t="s">
        <v>47</v>
      </c>
      <c r="I110" t="s">
        <v>365</v>
      </c>
      <c r="J110" t="s">
        <v>38</v>
      </c>
      <c r="K110" t="s">
        <v>21</v>
      </c>
      <c r="L110" t="s">
        <v>38</v>
      </c>
      <c r="M110" t="str">
        <f t="shared" si="7"/>
        <v>Win</v>
      </c>
      <c r="N110" t="s">
        <v>998</v>
      </c>
      <c r="O110" t="s">
        <v>1001</v>
      </c>
      <c r="P110" t="s">
        <v>1001</v>
      </c>
    </row>
    <row r="111" spans="1:16" x14ac:dyDescent="0.3">
      <c r="A111" t="s">
        <v>688</v>
      </c>
      <c r="B111" s="1">
        <v>40198</v>
      </c>
      <c r="C111" s="1" t="str">
        <f t="shared" si="4"/>
        <v>Wednesday</v>
      </c>
      <c r="D111" s="1" t="str">
        <f t="shared" si="5"/>
        <v>January</v>
      </c>
      <c r="E111">
        <f t="shared" si="6"/>
        <v>2010</v>
      </c>
      <c r="F111" t="s">
        <v>366</v>
      </c>
      <c r="G111" t="s">
        <v>1</v>
      </c>
      <c r="H111" t="s">
        <v>17</v>
      </c>
      <c r="I111" t="s">
        <v>367</v>
      </c>
      <c r="J111" t="s">
        <v>38</v>
      </c>
      <c r="K111" t="s">
        <v>62</v>
      </c>
      <c r="L111" t="s">
        <v>38</v>
      </c>
      <c r="M111" t="str">
        <f t="shared" si="7"/>
        <v>Win</v>
      </c>
      <c r="N111" t="s">
        <v>485</v>
      </c>
      <c r="O111" t="s">
        <v>1001</v>
      </c>
      <c r="P111" t="s">
        <v>1001</v>
      </c>
    </row>
    <row r="112" spans="1:16" x14ac:dyDescent="0.3">
      <c r="A112" t="s">
        <v>689</v>
      </c>
      <c r="B112" s="1">
        <v>40199</v>
      </c>
      <c r="C112" s="1" t="str">
        <f t="shared" si="4"/>
        <v>Thursday</v>
      </c>
      <c r="D112" s="1" t="str">
        <f t="shared" si="5"/>
        <v>January</v>
      </c>
      <c r="E112">
        <f t="shared" si="6"/>
        <v>2010</v>
      </c>
      <c r="F112" t="s">
        <v>366</v>
      </c>
      <c r="G112" t="s">
        <v>1</v>
      </c>
      <c r="H112" t="s">
        <v>40</v>
      </c>
      <c r="I112" t="s">
        <v>367</v>
      </c>
      <c r="J112" t="s">
        <v>38</v>
      </c>
      <c r="K112" t="s">
        <v>120</v>
      </c>
      <c r="L112" t="s">
        <v>38</v>
      </c>
      <c r="M112" t="str">
        <f t="shared" si="7"/>
        <v>Win</v>
      </c>
      <c r="N112" t="s">
        <v>520</v>
      </c>
      <c r="O112" t="s">
        <v>524</v>
      </c>
      <c r="P112" t="s">
        <v>485</v>
      </c>
    </row>
    <row r="113" spans="1:16" x14ac:dyDescent="0.3">
      <c r="A113" t="s">
        <v>690</v>
      </c>
      <c r="B113" s="1">
        <v>40200</v>
      </c>
      <c r="C113" s="1" t="str">
        <f t="shared" si="4"/>
        <v>Friday</v>
      </c>
      <c r="D113" s="1" t="str">
        <f t="shared" si="5"/>
        <v>January</v>
      </c>
      <c r="E113">
        <f t="shared" si="6"/>
        <v>2010</v>
      </c>
      <c r="F113" t="s">
        <v>366</v>
      </c>
      <c r="G113" t="s">
        <v>1</v>
      </c>
      <c r="H113" t="s">
        <v>42</v>
      </c>
      <c r="I113" t="s">
        <v>367</v>
      </c>
      <c r="J113" t="s">
        <v>38</v>
      </c>
      <c r="K113" t="s">
        <v>28</v>
      </c>
      <c r="L113" t="s">
        <v>38</v>
      </c>
      <c r="M113" t="str">
        <f t="shared" si="7"/>
        <v>Win</v>
      </c>
      <c r="N113" t="s">
        <v>485</v>
      </c>
      <c r="O113" t="s">
        <v>505</v>
      </c>
      <c r="P113" t="s">
        <v>1002</v>
      </c>
    </row>
    <row r="114" spans="1:16" x14ac:dyDescent="0.3">
      <c r="A114" t="s">
        <v>691</v>
      </c>
      <c r="B114" s="1">
        <v>40201</v>
      </c>
      <c r="C114" s="1" t="str">
        <f t="shared" si="4"/>
        <v>Saturday</v>
      </c>
      <c r="D114" s="1" t="str">
        <f t="shared" si="5"/>
        <v>January</v>
      </c>
      <c r="E114">
        <f t="shared" si="6"/>
        <v>2010</v>
      </c>
      <c r="F114" t="s">
        <v>366</v>
      </c>
      <c r="G114" t="s">
        <v>1</v>
      </c>
      <c r="H114" t="s">
        <v>46</v>
      </c>
      <c r="I114" t="s">
        <v>367</v>
      </c>
      <c r="J114" t="s">
        <v>38</v>
      </c>
      <c r="K114" t="s">
        <v>9</v>
      </c>
      <c r="L114" t="s">
        <v>38</v>
      </c>
      <c r="M114" t="str">
        <f t="shared" si="7"/>
        <v>Win</v>
      </c>
      <c r="N114" t="s">
        <v>522</v>
      </c>
      <c r="O114" t="s">
        <v>1001</v>
      </c>
      <c r="P114" t="s">
        <v>1001</v>
      </c>
    </row>
    <row r="115" spans="1:16" x14ac:dyDescent="0.3">
      <c r="A115" t="s">
        <v>692</v>
      </c>
      <c r="B115" s="1">
        <v>40202</v>
      </c>
      <c r="C115" s="1" t="str">
        <f t="shared" si="4"/>
        <v>Sunday</v>
      </c>
      <c r="D115" s="1" t="str">
        <f t="shared" si="5"/>
        <v>January</v>
      </c>
      <c r="E115">
        <f t="shared" si="6"/>
        <v>2010</v>
      </c>
      <c r="F115" t="s">
        <v>366</v>
      </c>
      <c r="G115" t="s">
        <v>1</v>
      </c>
      <c r="H115" t="s">
        <v>47</v>
      </c>
      <c r="I115" t="s">
        <v>367</v>
      </c>
      <c r="J115" t="s">
        <v>38</v>
      </c>
      <c r="K115" t="s">
        <v>23</v>
      </c>
      <c r="L115" t="s">
        <v>38</v>
      </c>
      <c r="M115" t="str">
        <f t="shared" si="7"/>
        <v>Win</v>
      </c>
      <c r="N115" t="s">
        <v>203</v>
      </c>
      <c r="O115" t="s">
        <v>1001</v>
      </c>
      <c r="P115" t="s">
        <v>1001</v>
      </c>
    </row>
    <row r="116" spans="1:16" x14ac:dyDescent="0.3">
      <c r="A116" t="s">
        <v>693</v>
      </c>
      <c r="B116" s="1">
        <v>40247</v>
      </c>
      <c r="C116" s="1" t="str">
        <f t="shared" si="4"/>
        <v>Wednesday</v>
      </c>
      <c r="D116" s="1" t="str">
        <f t="shared" si="5"/>
        <v>March</v>
      </c>
      <c r="E116">
        <f t="shared" si="6"/>
        <v>2010</v>
      </c>
      <c r="F116" t="s">
        <v>373</v>
      </c>
      <c r="G116" t="s">
        <v>1</v>
      </c>
      <c r="H116" t="s">
        <v>17</v>
      </c>
      <c r="I116" t="s">
        <v>374</v>
      </c>
      <c r="J116" t="s">
        <v>38</v>
      </c>
      <c r="K116" t="s">
        <v>19</v>
      </c>
      <c r="L116" t="s">
        <v>38</v>
      </c>
      <c r="M116" t="str">
        <f t="shared" si="7"/>
        <v>Win</v>
      </c>
      <c r="N116" t="s">
        <v>1002</v>
      </c>
      <c r="O116" t="s">
        <v>1001</v>
      </c>
      <c r="P116" t="s">
        <v>1001</v>
      </c>
    </row>
    <row r="117" spans="1:16" x14ac:dyDescent="0.3">
      <c r="A117" t="s">
        <v>694</v>
      </c>
      <c r="B117" s="1">
        <v>40248</v>
      </c>
      <c r="C117" s="1" t="str">
        <f t="shared" si="4"/>
        <v>Thursday</v>
      </c>
      <c r="D117" s="1" t="str">
        <f t="shared" si="5"/>
        <v>March</v>
      </c>
      <c r="E117">
        <f t="shared" si="6"/>
        <v>2010</v>
      </c>
      <c r="F117" t="s">
        <v>373</v>
      </c>
      <c r="G117" t="s">
        <v>1</v>
      </c>
      <c r="H117" t="s">
        <v>40</v>
      </c>
      <c r="I117" t="s">
        <v>374</v>
      </c>
      <c r="J117" t="s">
        <v>38</v>
      </c>
      <c r="K117" t="s">
        <v>3</v>
      </c>
      <c r="L117" t="s">
        <v>38</v>
      </c>
      <c r="M117" t="str">
        <f t="shared" si="7"/>
        <v>Win</v>
      </c>
      <c r="N117" t="s">
        <v>1010</v>
      </c>
      <c r="O117" t="s">
        <v>1001</v>
      </c>
      <c r="P117" t="s">
        <v>1001</v>
      </c>
    </row>
    <row r="118" spans="1:16" x14ac:dyDescent="0.3">
      <c r="A118" t="s">
        <v>695</v>
      </c>
      <c r="B118" s="1">
        <v>40249</v>
      </c>
      <c r="C118" s="1" t="str">
        <f t="shared" si="4"/>
        <v>Friday</v>
      </c>
      <c r="D118" s="1" t="str">
        <f t="shared" si="5"/>
        <v>March</v>
      </c>
      <c r="E118">
        <f t="shared" si="6"/>
        <v>2010</v>
      </c>
      <c r="F118" t="s">
        <v>373</v>
      </c>
      <c r="G118" t="s">
        <v>1</v>
      </c>
      <c r="H118" t="s">
        <v>42</v>
      </c>
      <c r="I118" t="s">
        <v>374</v>
      </c>
      <c r="J118" t="s">
        <v>38</v>
      </c>
      <c r="K118" t="s">
        <v>51</v>
      </c>
      <c r="L118" t="s">
        <v>38</v>
      </c>
      <c r="M118" t="str">
        <f t="shared" si="7"/>
        <v>Win</v>
      </c>
      <c r="N118" t="s">
        <v>552</v>
      </c>
      <c r="O118" t="s">
        <v>485</v>
      </c>
      <c r="P118" t="s">
        <v>485</v>
      </c>
    </row>
    <row r="119" spans="1:16" x14ac:dyDescent="0.3">
      <c r="A119" t="s">
        <v>696</v>
      </c>
      <c r="B119" s="1">
        <v>40250</v>
      </c>
      <c r="C119" s="1" t="str">
        <f t="shared" si="4"/>
        <v>Saturday</v>
      </c>
      <c r="D119" s="1" t="str">
        <f t="shared" si="5"/>
        <v>March</v>
      </c>
      <c r="E119">
        <f t="shared" si="6"/>
        <v>2010</v>
      </c>
      <c r="F119" t="s">
        <v>373</v>
      </c>
      <c r="G119" t="s">
        <v>1</v>
      </c>
      <c r="H119" t="s">
        <v>46</v>
      </c>
      <c r="I119" t="s">
        <v>374</v>
      </c>
      <c r="J119" t="s">
        <v>38</v>
      </c>
      <c r="K119" t="s">
        <v>21</v>
      </c>
      <c r="L119" t="s">
        <v>38</v>
      </c>
      <c r="M119" t="str">
        <f t="shared" si="7"/>
        <v>Win</v>
      </c>
      <c r="N119" t="s">
        <v>524</v>
      </c>
      <c r="O119" t="s">
        <v>1001</v>
      </c>
      <c r="P119" t="s">
        <v>1001</v>
      </c>
    </row>
    <row r="120" spans="1:16" x14ac:dyDescent="0.3">
      <c r="A120" t="s">
        <v>697</v>
      </c>
      <c r="B120" s="1">
        <v>40251</v>
      </c>
      <c r="C120" s="1" t="str">
        <f t="shared" si="4"/>
        <v>Sunday</v>
      </c>
      <c r="D120" s="1" t="str">
        <f t="shared" si="5"/>
        <v>March</v>
      </c>
      <c r="E120">
        <f t="shared" si="6"/>
        <v>2010</v>
      </c>
      <c r="F120" t="s">
        <v>373</v>
      </c>
      <c r="G120" t="s">
        <v>1</v>
      </c>
      <c r="H120" t="s">
        <v>47</v>
      </c>
      <c r="I120" t="s">
        <v>374</v>
      </c>
      <c r="J120" t="s">
        <v>38</v>
      </c>
      <c r="K120" t="s">
        <v>135</v>
      </c>
      <c r="L120" t="s">
        <v>38</v>
      </c>
      <c r="M120" t="str">
        <f t="shared" si="7"/>
        <v>Win</v>
      </c>
      <c r="N120" t="s">
        <v>179</v>
      </c>
      <c r="O120" t="s">
        <v>1001</v>
      </c>
      <c r="P120" t="s">
        <v>1001</v>
      </c>
    </row>
    <row r="121" spans="1:16" x14ac:dyDescent="0.3">
      <c r="A121" t="s">
        <v>698</v>
      </c>
      <c r="B121" s="1">
        <v>40345</v>
      </c>
      <c r="C121" s="1" t="str">
        <f t="shared" si="4"/>
        <v>Wednesday</v>
      </c>
      <c r="D121" s="1" t="str">
        <f t="shared" si="5"/>
        <v>June</v>
      </c>
      <c r="E121">
        <f t="shared" si="6"/>
        <v>2010</v>
      </c>
      <c r="F121" t="s">
        <v>379</v>
      </c>
      <c r="G121" t="s">
        <v>1</v>
      </c>
      <c r="H121" t="s">
        <v>17</v>
      </c>
      <c r="I121" t="s">
        <v>319</v>
      </c>
      <c r="J121" t="s">
        <v>38</v>
      </c>
      <c r="K121" t="s">
        <v>155</v>
      </c>
      <c r="L121" t="s">
        <v>38</v>
      </c>
      <c r="M121" t="str">
        <f t="shared" si="7"/>
        <v>Win</v>
      </c>
      <c r="N121" t="s">
        <v>1011</v>
      </c>
      <c r="O121" t="s">
        <v>566</v>
      </c>
      <c r="P121" t="s">
        <v>1002</v>
      </c>
    </row>
    <row r="122" spans="1:16" x14ac:dyDescent="0.3">
      <c r="A122" t="s">
        <v>699</v>
      </c>
      <c r="B122" s="1">
        <v>40346</v>
      </c>
      <c r="C122" s="1" t="str">
        <f t="shared" si="4"/>
        <v>Thursday</v>
      </c>
      <c r="D122" s="1" t="str">
        <f t="shared" si="5"/>
        <v>June</v>
      </c>
      <c r="E122">
        <f t="shared" si="6"/>
        <v>2010</v>
      </c>
      <c r="F122" t="s">
        <v>379</v>
      </c>
      <c r="G122" t="s">
        <v>1</v>
      </c>
      <c r="H122" t="s">
        <v>40</v>
      </c>
      <c r="I122" t="s">
        <v>319</v>
      </c>
      <c r="J122" t="s">
        <v>38</v>
      </c>
      <c r="K122" t="s">
        <v>110</v>
      </c>
      <c r="L122" t="s">
        <v>38</v>
      </c>
      <c r="M122" t="str">
        <f t="shared" si="7"/>
        <v>Win</v>
      </c>
      <c r="N122" t="s">
        <v>203</v>
      </c>
      <c r="O122" t="s">
        <v>409</v>
      </c>
      <c r="P122" t="s">
        <v>550</v>
      </c>
    </row>
    <row r="123" spans="1:16" x14ac:dyDescent="0.3">
      <c r="A123" t="s">
        <v>700</v>
      </c>
      <c r="B123" s="1">
        <v>40347</v>
      </c>
      <c r="C123" s="1" t="str">
        <f t="shared" si="4"/>
        <v>Friday</v>
      </c>
      <c r="D123" s="1" t="str">
        <f t="shared" si="5"/>
        <v>June</v>
      </c>
      <c r="E123">
        <f t="shared" si="6"/>
        <v>2010</v>
      </c>
      <c r="F123" t="s">
        <v>379</v>
      </c>
      <c r="G123" t="s">
        <v>1</v>
      </c>
      <c r="H123" t="s">
        <v>42</v>
      </c>
      <c r="I123" t="s">
        <v>319</v>
      </c>
      <c r="J123" t="s">
        <v>38</v>
      </c>
      <c r="K123" t="s">
        <v>3</v>
      </c>
      <c r="L123" t="s">
        <v>3</v>
      </c>
      <c r="M123" t="str">
        <f t="shared" si="7"/>
        <v>Loss</v>
      </c>
      <c r="N123" t="s">
        <v>1006</v>
      </c>
      <c r="O123" t="s">
        <v>409</v>
      </c>
      <c r="P123" t="s">
        <v>566</v>
      </c>
    </row>
    <row r="124" spans="1:16" x14ac:dyDescent="0.3">
      <c r="A124" t="s">
        <v>701</v>
      </c>
      <c r="B124" s="1">
        <v>40352</v>
      </c>
      <c r="C124" s="1" t="str">
        <f t="shared" si="4"/>
        <v>Wednesday</v>
      </c>
      <c r="D124" s="1" t="str">
        <f t="shared" si="5"/>
        <v>June</v>
      </c>
      <c r="E124">
        <f t="shared" si="6"/>
        <v>2010</v>
      </c>
      <c r="F124" t="s">
        <v>384</v>
      </c>
      <c r="G124" t="s">
        <v>1</v>
      </c>
      <c r="H124" t="s">
        <v>17</v>
      </c>
      <c r="I124" t="s">
        <v>322</v>
      </c>
      <c r="J124" t="s">
        <v>38</v>
      </c>
      <c r="K124" t="s">
        <v>110</v>
      </c>
      <c r="L124" t="s">
        <v>38</v>
      </c>
      <c r="M124" t="str">
        <f t="shared" si="7"/>
        <v>Win</v>
      </c>
      <c r="N124" t="s">
        <v>1005</v>
      </c>
      <c r="O124" t="s">
        <v>1001</v>
      </c>
      <c r="P124" t="s">
        <v>1001</v>
      </c>
    </row>
    <row r="125" spans="1:16" x14ac:dyDescent="0.3">
      <c r="A125" t="s">
        <v>702</v>
      </c>
      <c r="B125" s="1">
        <v>40353</v>
      </c>
      <c r="C125" s="1" t="str">
        <f t="shared" si="4"/>
        <v>Thursday</v>
      </c>
      <c r="D125" s="1" t="str">
        <f t="shared" si="5"/>
        <v>June</v>
      </c>
      <c r="E125">
        <f t="shared" si="6"/>
        <v>2010</v>
      </c>
      <c r="F125" t="s">
        <v>384</v>
      </c>
      <c r="G125" t="s">
        <v>1</v>
      </c>
      <c r="H125" t="s">
        <v>40</v>
      </c>
      <c r="I125" t="s">
        <v>322</v>
      </c>
      <c r="J125" t="s">
        <v>38</v>
      </c>
      <c r="K125" t="s">
        <v>158</v>
      </c>
      <c r="L125" t="s">
        <v>38</v>
      </c>
      <c r="M125" t="str">
        <f t="shared" si="7"/>
        <v>Win</v>
      </c>
      <c r="N125" t="s">
        <v>1011</v>
      </c>
      <c r="O125" t="s">
        <v>1001</v>
      </c>
      <c r="P125" t="s">
        <v>1001</v>
      </c>
    </row>
    <row r="126" spans="1:16" x14ac:dyDescent="0.3">
      <c r="A126" t="s">
        <v>703</v>
      </c>
      <c r="B126" s="1">
        <v>40354</v>
      </c>
      <c r="C126" s="1" t="str">
        <f t="shared" si="4"/>
        <v>Friday</v>
      </c>
      <c r="D126" s="1" t="str">
        <f t="shared" si="5"/>
        <v>June</v>
      </c>
      <c r="E126">
        <f t="shared" si="6"/>
        <v>2010</v>
      </c>
      <c r="F126" t="s">
        <v>384</v>
      </c>
      <c r="G126" t="s">
        <v>1</v>
      </c>
      <c r="H126" t="s">
        <v>42</v>
      </c>
      <c r="I126" t="s">
        <v>322</v>
      </c>
      <c r="J126" t="s">
        <v>38</v>
      </c>
      <c r="K126" t="s">
        <v>135</v>
      </c>
      <c r="L126" t="s">
        <v>38</v>
      </c>
      <c r="M126" t="str">
        <f t="shared" si="7"/>
        <v>Win</v>
      </c>
      <c r="N126" t="s">
        <v>998</v>
      </c>
      <c r="O126" t="s">
        <v>1015</v>
      </c>
      <c r="P126" t="s">
        <v>998</v>
      </c>
    </row>
    <row r="127" spans="1:16" x14ac:dyDescent="0.3">
      <c r="A127" t="s">
        <v>704</v>
      </c>
      <c r="B127" s="1">
        <v>40355</v>
      </c>
      <c r="C127" s="1" t="str">
        <f t="shared" si="4"/>
        <v>Saturday</v>
      </c>
      <c r="D127" s="1" t="str">
        <f t="shared" si="5"/>
        <v>June</v>
      </c>
      <c r="E127">
        <f t="shared" si="6"/>
        <v>2010</v>
      </c>
      <c r="F127" t="s">
        <v>384</v>
      </c>
      <c r="G127" t="s">
        <v>1</v>
      </c>
      <c r="H127" t="s">
        <v>46</v>
      </c>
      <c r="I127" t="s">
        <v>322</v>
      </c>
      <c r="J127" t="s">
        <v>38</v>
      </c>
      <c r="K127" t="s">
        <v>3</v>
      </c>
      <c r="L127" t="s">
        <v>38</v>
      </c>
      <c r="M127" t="str">
        <f t="shared" si="7"/>
        <v>Win</v>
      </c>
      <c r="N127" t="s">
        <v>203</v>
      </c>
      <c r="O127" t="s">
        <v>1001</v>
      </c>
      <c r="P127" t="s">
        <v>1001</v>
      </c>
    </row>
    <row r="128" spans="1:16" x14ac:dyDescent="0.3">
      <c r="A128" t="s">
        <v>705</v>
      </c>
      <c r="B128" s="1">
        <v>40356</v>
      </c>
      <c r="C128" s="1" t="str">
        <f t="shared" si="4"/>
        <v>Sunday</v>
      </c>
      <c r="D128" s="1" t="str">
        <f t="shared" si="5"/>
        <v>June</v>
      </c>
      <c r="E128">
        <f t="shared" si="6"/>
        <v>2010</v>
      </c>
      <c r="F128" t="s">
        <v>384</v>
      </c>
      <c r="G128" t="s">
        <v>1</v>
      </c>
      <c r="H128" t="s">
        <v>47</v>
      </c>
      <c r="I128" t="s">
        <v>322</v>
      </c>
      <c r="J128" t="s">
        <v>38</v>
      </c>
      <c r="K128" t="s">
        <v>30</v>
      </c>
      <c r="L128" t="s">
        <v>38</v>
      </c>
      <c r="M128" t="str">
        <f t="shared" si="7"/>
        <v>Win</v>
      </c>
      <c r="N128" t="s">
        <v>179</v>
      </c>
      <c r="O128" t="s">
        <v>1001</v>
      </c>
      <c r="P128" t="s">
        <v>1001</v>
      </c>
    </row>
    <row r="129" spans="1:16" x14ac:dyDescent="0.3">
      <c r="A129" t="s">
        <v>706</v>
      </c>
      <c r="B129" s="1">
        <v>40366</v>
      </c>
      <c r="C129" s="1" t="str">
        <f t="shared" si="4"/>
        <v>Wednesday</v>
      </c>
      <c r="D129" s="1" t="str">
        <f t="shared" si="5"/>
        <v>July</v>
      </c>
      <c r="E129">
        <f t="shared" si="6"/>
        <v>2010</v>
      </c>
      <c r="F129" t="s">
        <v>387</v>
      </c>
      <c r="G129" t="s">
        <v>219</v>
      </c>
      <c r="H129" t="s">
        <v>222</v>
      </c>
      <c r="I129" t="s">
        <v>388</v>
      </c>
      <c r="J129" t="s">
        <v>38</v>
      </c>
      <c r="K129" t="s">
        <v>390</v>
      </c>
      <c r="L129" t="s">
        <v>38</v>
      </c>
      <c r="M129" t="str">
        <f t="shared" si="7"/>
        <v>Win</v>
      </c>
      <c r="N129" t="s">
        <v>1004</v>
      </c>
      <c r="O129" t="s">
        <v>1001</v>
      </c>
      <c r="P129" t="s">
        <v>1001</v>
      </c>
    </row>
    <row r="130" spans="1:16" x14ac:dyDescent="0.3">
      <c r="A130" t="s">
        <v>707</v>
      </c>
      <c r="B130" s="1">
        <v>40366</v>
      </c>
      <c r="C130" s="1" t="str">
        <f t="shared" si="4"/>
        <v>Wednesday</v>
      </c>
      <c r="D130" s="1" t="str">
        <f t="shared" si="5"/>
        <v>July</v>
      </c>
      <c r="E130">
        <f t="shared" si="6"/>
        <v>2010</v>
      </c>
      <c r="F130" t="s">
        <v>387</v>
      </c>
      <c r="G130" t="s">
        <v>219</v>
      </c>
      <c r="H130" t="s">
        <v>17</v>
      </c>
      <c r="I130" t="s">
        <v>388</v>
      </c>
      <c r="J130" t="s">
        <v>38</v>
      </c>
      <c r="K130" t="s">
        <v>8</v>
      </c>
      <c r="L130" t="s">
        <v>38</v>
      </c>
      <c r="M130" t="str">
        <f t="shared" si="7"/>
        <v>Win</v>
      </c>
      <c r="N130" t="s">
        <v>550</v>
      </c>
      <c r="O130" t="s">
        <v>1001</v>
      </c>
      <c r="P130" t="s">
        <v>1001</v>
      </c>
    </row>
    <row r="131" spans="1:16" x14ac:dyDescent="0.3">
      <c r="A131" t="s">
        <v>708</v>
      </c>
      <c r="B131" s="1">
        <v>40367</v>
      </c>
      <c r="C131" s="1" t="str">
        <f t="shared" ref="C131:C194" si="8">TEXT(B131,"dddd")</f>
        <v>Thursday</v>
      </c>
      <c r="D131" s="1" t="str">
        <f t="shared" ref="D131:D194" si="9">TEXT(B131,"mmmm")</f>
        <v>July</v>
      </c>
      <c r="E131">
        <f t="shared" ref="E131:E194" si="10">YEAR(B131)</f>
        <v>2010</v>
      </c>
      <c r="F131" t="s">
        <v>387</v>
      </c>
      <c r="G131" t="s">
        <v>219</v>
      </c>
      <c r="H131" t="s">
        <v>40</v>
      </c>
      <c r="I131" t="s">
        <v>388</v>
      </c>
      <c r="J131" t="s">
        <v>38</v>
      </c>
      <c r="K131" t="s">
        <v>169</v>
      </c>
      <c r="L131" t="s">
        <v>38</v>
      </c>
      <c r="M131" t="str">
        <f t="shared" ref="M131:M194" si="11">IF(L131=J131,"Win","Loss")</f>
        <v>Win</v>
      </c>
      <c r="N131" t="s">
        <v>385</v>
      </c>
      <c r="O131" t="s">
        <v>1001</v>
      </c>
      <c r="P131" t="s">
        <v>1001</v>
      </c>
    </row>
    <row r="132" spans="1:16" x14ac:dyDescent="0.3">
      <c r="A132" t="s">
        <v>709</v>
      </c>
      <c r="B132" s="1">
        <v>40368</v>
      </c>
      <c r="C132" s="1" t="str">
        <f t="shared" si="8"/>
        <v>Friday</v>
      </c>
      <c r="D132" s="1" t="str">
        <f t="shared" si="9"/>
        <v>July</v>
      </c>
      <c r="E132">
        <f t="shared" si="10"/>
        <v>2010</v>
      </c>
      <c r="F132" t="s">
        <v>387</v>
      </c>
      <c r="G132" t="s">
        <v>219</v>
      </c>
      <c r="H132" t="s">
        <v>42</v>
      </c>
      <c r="I132" t="s">
        <v>388</v>
      </c>
      <c r="J132" t="s">
        <v>38</v>
      </c>
      <c r="K132" t="s">
        <v>108</v>
      </c>
      <c r="L132" t="s">
        <v>38</v>
      </c>
      <c r="M132" t="str">
        <f t="shared" si="11"/>
        <v>Win</v>
      </c>
      <c r="N132" t="s">
        <v>1010</v>
      </c>
      <c r="O132" t="s">
        <v>1001</v>
      </c>
      <c r="P132" t="s">
        <v>1001</v>
      </c>
    </row>
    <row r="133" spans="1:16" x14ac:dyDescent="0.3">
      <c r="A133" t="s">
        <v>710</v>
      </c>
      <c r="B133" s="1">
        <v>40369</v>
      </c>
      <c r="C133" s="1" t="str">
        <f t="shared" si="8"/>
        <v>Saturday</v>
      </c>
      <c r="D133" s="1" t="str">
        <f t="shared" si="9"/>
        <v>July</v>
      </c>
      <c r="E133">
        <f t="shared" si="10"/>
        <v>2010</v>
      </c>
      <c r="F133" t="s">
        <v>387</v>
      </c>
      <c r="G133" t="s">
        <v>219</v>
      </c>
      <c r="H133" t="s">
        <v>46</v>
      </c>
      <c r="I133" t="s">
        <v>388</v>
      </c>
      <c r="J133" t="s">
        <v>38</v>
      </c>
      <c r="K133" t="s">
        <v>79</v>
      </c>
      <c r="L133" t="s">
        <v>38</v>
      </c>
      <c r="M133" t="str">
        <f t="shared" si="11"/>
        <v>Win</v>
      </c>
      <c r="N133" t="s">
        <v>550</v>
      </c>
      <c r="O133" t="s">
        <v>1001</v>
      </c>
      <c r="P133" t="s">
        <v>1001</v>
      </c>
    </row>
    <row r="134" spans="1:16" x14ac:dyDescent="0.3">
      <c r="A134" t="s">
        <v>711</v>
      </c>
      <c r="B134" s="1">
        <v>40370</v>
      </c>
      <c r="C134" s="1" t="str">
        <f t="shared" si="8"/>
        <v>Sunday</v>
      </c>
      <c r="D134" s="1" t="str">
        <f t="shared" si="9"/>
        <v>July</v>
      </c>
      <c r="E134">
        <f t="shared" si="10"/>
        <v>2010</v>
      </c>
      <c r="F134" t="s">
        <v>387</v>
      </c>
      <c r="G134" t="s">
        <v>219</v>
      </c>
      <c r="H134" t="s">
        <v>47</v>
      </c>
      <c r="I134" t="s">
        <v>388</v>
      </c>
      <c r="J134" t="s">
        <v>38</v>
      </c>
      <c r="K134" t="s">
        <v>7</v>
      </c>
      <c r="L134" t="s">
        <v>38</v>
      </c>
      <c r="M134" t="str">
        <f t="shared" si="11"/>
        <v>Win</v>
      </c>
      <c r="N134" t="s">
        <v>1004</v>
      </c>
      <c r="O134" t="s">
        <v>552</v>
      </c>
      <c r="P134" t="s">
        <v>1002</v>
      </c>
    </row>
    <row r="135" spans="1:16" x14ac:dyDescent="0.3">
      <c r="A135" t="s">
        <v>712</v>
      </c>
      <c r="B135" s="1">
        <v>40386</v>
      </c>
      <c r="C135" s="1" t="str">
        <f t="shared" si="8"/>
        <v>Tuesday</v>
      </c>
      <c r="D135" s="1" t="str">
        <f t="shared" si="9"/>
        <v>July</v>
      </c>
      <c r="E135">
        <f t="shared" si="10"/>
        <v>2010</v>
      </c>
      <c r="F135" t="s">
        <v>393</v>
      </c>
      <c r="G135" t="s">
        <v>219</v>
      </c>
      <c r="H135" t="s">
        <v>222</v>
      </c>
      <c r="I135" t="s">
        <v>394</v>
      </c>
      <c r="J135" t="s">
        <v>38</v>
      </c>
      <c r="K135" t="s">
        <v>167</v>
      </c>
      <c r="L135" t="s">
        <v>38</v>
      </c>
      <c r="M135" t="str">
        <f t="shared" si="11"/>
        <v>Win</v>
      </c>
      <c r="N135" t="s">
        <v>1011</v>
      </c>
      <c r="O135" t="s">
        <v>1001</v>
      </c>
      <c r="P135" t="s">
        <v>1001</v>
      </c>
    </row>
    <row r="136" spans="1:16" x14ac:dyDescent="0.3">
      <c r="A136" t="s">
        <v>713</v>
      </c>
      <c r="B136" s="1">
        <v>40387</v>
      </c>
      <c r="C136" s="1" t="str">
        <f t="shared" si="8"/>
        <v>Wednesday</v>
      </c>
      <c r="D136" s="1" t="str">
        <f t="shared" si="9"/>
        <v>July</v>
      </c>
      <c r="E136">
        <f t="shared" si="10"/>
        <v>2010</v>
      </c>
      <c r="F136" t="s">
        <v>393</v>
      </c>
      <c r="G136" t="s">
        <v>219</v>
      </c>
      <c r="H136" t="s">
        <v>17</v>
      </c>
      <c r="I136" t="s">
        <v>394</v>
      </c>
      <c r="J136" t="s">
        <v>38</v>
      </c>
      <c r="K136" t="s">
        <v>224</v>
      </c>
      <c r="L136" t="s">
        <v>38</v>
      </c>
      <c r="M136" t="str">
        <f t="shared" si="11"/>
        <v>Win</v>
      </c>
      <c r="N136" t="s">
        <v>1002</v>
      </c>
      <c r="O136" t="s">
        <v>1001</v>
      </c>
      <c r="P136" t="s">
        <v>1001</v>
      </c>
    </row>
    <row r="137" spans="1:16" x14ac:dyDescent="0.3">
      <c r="A137" t="s">
        <v>714</v>
      </c>
      <c r="B137" s="1">
        <v>40388</v>
      </c>
      <c r="C137" s="1" t="str">
        <f t="shared" si="8"/>
        <v>Thursday</v>
      </c>
      <c r="D137" s="1" t="str">
        <f t="shared" si="9"/>
        <v>July</v>
      </c>
      <c r="E137">
        <f t="shared" si="10"/>
        <v>2010</v>
      </c>
      <c r="F137" t="s">
        <v>393</v>
      </c>
      <c r="G137" t="s">
        <v>219</v>
      </c>
      <c r="H137" t="s">
        <v>40</v>
      </c>
      <c r="I137" t="s">
        <v>394</v>
      </c>
      <c r="J137" t="s">
        <v>38</v>
      </c>
      <c r="K137" t="s">
        <v>227</v>
      </c>
      <c r="L137" t="s">
        <v>38</v>
      </c>
      <c r="M137" t="str">
        <f t="shared" si="11"/>
        <v>Win</v>
      </c>
      <c r="N137" t="s">
        <v>998</v>
      </c>
      <c r="O137" t="s">
        <v>1001</v>
      </c>
      <c r="P137" t="s">
        <v>1001</v>
      </c>
    </row>
    <row r="138" spans="1:16" x14ac:dyDescent="0.3">
      <c r="A138" t="s">
        <v>715</v>
      </c>
      <c r="B138" s="1">
        <v>40389</v>
      </c>
      <c r="C138" s="1" t="str">
        <f t="shared" si="8"/>
        <v>Friday</v>
      </c>
      <c r="D138" s="1" t="str">
        <f t="shared" si="9"/>
        <v>July</v>
      </c>
      <c r="E138">
        <f t="shared" si="10"/>
        <v>2010</v>
      </c>
      <c r="F138" t="s">
        <v>393</v>
      </c>
      <c r="G138" t="s">
        <v>219</v>
      </c>
      <c r="H138" t="s">
        <v>42</v>
      </c>
      <c r="I138" t="s">
        <v>394</v>
      </c>
      <c r="J138" t="s">
        <v>38</v>
      </c>
      <c r="K138" t="s">
        <v>51</v>
      </c>
      <c r="L138" t="s">
        <v>38</v>
      </c>
      <c r="M138" t="str">
        <f t="shared" si="11"/>
        <v>Win</v>
      </c>
      <c r="N138" t="s">
        <v>550</v>
      </c>
      <c r="O138" t="s">
        <v>1001</v>
      </c>
      <c r="P138" t="s">
        <v>1001</v>
      </c>
    </row>
    <row r="139" spans="1:16" x14ac:dyDescent="0.3">
      <c r="A139" t="s">
        <v>716</v>
      </c>
      <c r="B139" s="1">
        <v>40390</v>
      </c>
      <c r="C139" s="1" t="str">
        <f t="shared" si="8"/>
        <v>Saturday</v>
      </c>
      <c r="D139" s="1" t="str">
        <f t="shared" si="9"/>
        <v>July</v>
      </c>
      <c r="E139">
        <f t="shared" si="10"/>
        <v>2010</v>
      </c>
      <c r="F139" t="s">
        <v>393</v>
      </c>
      <c r="G139" t="s">
        <v>219</v>
      </c>
      <c r="H139" t="s">
        <v>46</v>
      </c>
      <c r="I139" t="s">
        <v>394</v>
      </c>
      <c r="J139" t="s">
        <v>38</v>
      </c>
      <c r="K139" t="s">
        <v>68</v>
      </c>
      <c r="L139" t="s">
        <v>38</v>
      </c>
      <c r="M139" t="str">
        <f t="shared" si="11"/>
        <v>Win</v>
      </c>
      <c r="N139" t="s">
        <v>998</v>
      </c>
      <c r="O139" t="s">
        <v>999</v>
      </c>
      <c r="P139" t="s">
        <v>998</v>
      </c>
    </row>
    <row r="140" spans="1:16" x14ac:dyDescent="0.3">
      <c r="A140" t="s">
        <v>717</v>
      </c>
      <c r="B140" s="1">
        <v>40443</v>
      </c>
      <c r="C140" s="1" t="str">
        <f t="shared" si="8"/>
        <v>Wednesday</v>
      </c>
      <c r="D140" s="1" t="str">
        <f t="shared" si="9"/>
        <v>September</v>
      </c>
      <c r="E140">
        <f t="shared" si="10"/>
        <v>2010</v>
      </c>
      <c r="F140" t="s">
        <v>399</v>
      </c>
      <c r="G140" t="s">
        <v>1</v>
      </c>
      <c r="H140" t="s">
        <v>17</v>
      </c>
      <c r="I140" t="s">
        <v>400</v>
      </c>
      <c r="J140" t="s">
        <v>38</v>
      </c>
      <c r="K140" t="s">
        <v>221</v>
      </c>
      <c r="L140" t="s">
        <v>38</v>
      </c>
      <c r="M140" t="str">
        <f t="shared" si="11"/>
        <v>Win</v>
      </c>
      <c r="N140" t="s">
        <v>1007</v>
      </c>
      <c r="O140" t="s">
        <v>1001</v>
      </c>
      <c r="P140" t="s">
        <v>1001</v>
      </c>
    </row>
    <row r="141" spans="1:16" x14ac:dyDescent="0.3">
      <c r="A141" t="s">
        <v>718</v>
      </c>
      <c r="B141" s="1">
        <v>40444</v>
      </c>
      <c r="C141" s="1" t="str">
        <f t="shared" si="8"/>
        <v>Thursday</v>
      </c>
      <c r="D141" s="1" t="str">
        <f t="shared" si="9"/>
        <v>September</v>
      </c>
      <c r="E141">
        <f t="shared" si="10"/>
        <v>2010</v>
      </c>
      <c r="F141" t="s">
        <v>399</v>
      </c>
      <c r="G141" t="s">
        <v>1</v>
      </c>
      <c r="H141" t="s">
        <v>40</v>
      </c>
      <c r="I141" t="s">
        <v>400</v>
      </c>
      <c r="J141" t="s">
        <v>38</v>
      </c>
      <c r="K141" t="s">
        <v>135</v>
      </c>
      <c r="L141" t="s">
        <v>38</v>
      </c>
      <c r="M141" t="str">
        <f t="shared" si="11"/>
        <v>Win</v>
      </c>
      <c r="N141" t="s">
        <v>1005</v>
      </c>
      <c r="O141" t="s">
        <v>1001</v>
      </c>
      <c r="P141" t="s">
        <v>1001</v>
      </c>
    </row>
    <row r="142" spans="1:16" x14ac:dyDescent="0.3">
      <c r="A142" t="s">
        <v>719</v>
      </c>
      <c r="B142" s="1">
        <v>40445</v>
      </c>
      <c r="C142" s="1" t="str">
        <f t="shared" si="8"/>
        <v>Friday</v>
      </c>
      <c r="D142" s="1" t="str">
        <f t="shared" si="9"/>
        <v>September</v>
      </c>
      <c r="E142">
        <f t="shared" si="10"/>
        <v>2010</v>
      </c>
      <c r="F142" t="s">
        <v>399</v>
      </c>
      <c r="G142" t="s">
        <v>1</v>
      </c>
      <c r="H142" t="s">
        <v>42</v>
      </c>
      <c r="I142" t="s">
        <v>400</v>
      </c>
      <c r="J142" t="s">
        <v>38</v>
      </c>
      <c r="K142" t="s">
        <v>39</v>
      </c>
      <c r="L142" t="s">
        <v>38</v>
      </c>
      <c r="M142" t="str">
        <f t="shared" si="11"/>
        <v>Win</v>
      </c>
      <c r="N142" t="s">
        <v>1005</v>
      </c>
      <c r="O142" t="s">
        <v>1001</v>
      </c>
      <c r="P142" t="s">
        <v>1001</v>
      </c>
    </row>
    <row r="143" spans="1:16" x14ac:dyDescent="0.3">
      <c r="A143" t="s">
        <v>720</v>
      </c>
      <c r="B143" s="1">
        <v>40446</v>
      </c>
      <c r="C143" s="1" t="str">
        <f t="shared" si="8"/>
        <v>Saturday</v>
      </c>
      <c r="D143" s="1" t="str">
        <f t="shared" si="9"/>
        <v>September</v>
      </c>
      <c r="E143">
        <f t="shared" si="10"/>
        <v>2010</v>
      </c>
      <c r="F143" t="s">
        <v>399</v>
      </c>
      <c r="G143" t="s">
        <v>1</v>
      </c>
      <c r="H143" t="s">
        <v>46</v>
      </c>
      <c r="I143" t="s">
        <v>400</v>
      </c>
      <c r="J143" t="s">
        <v>38</v>
      </c>
      <c r="K143" t="s">
        <v>23</v>
      </c>
      <c r="L143" t="s">
        <v>38</v>
      </c>
      <c r="M143" t="str">
        <f t="shared" si="11"/>
        <v>Win</v>
      </c>
      <c r="N143" t="s">
        <v>203</v>
      </c>
      <c r="O143" t="s">
        <v>1001</v>
      </c>
      <c r="P143" t="s">
        <v>1001</v>
      </c>
    </row>
    <row r="144" spans="1:16" x14ac:dyDescent="0.3">
      <c r="A144" t="s">
        <v>721</v>
      </c>
      <c r="B144" s="1">
        <v>40447</v>
      </c>
      <c r="C144" s="1" t="str">
        <f t="shared" si="8"/>
        <v>Sunday</v>
      </c>
      <c r="D144" s="1" t="str">
        <f t="shared" si="9"/>
        <v>September</v>
      </c>
      <c r="E144">
        <f t="shared" si="10"/>
        <v>2010</v>
      </c>
      <c r="F144" t="s">
        <v>399</v>
      </c>
      <c r="G144" t="s">
        <v>1</v>
      </c>
      <c r="H144" t="s">
        <v>47</v>
      </c>
      <c r="I144" t="s">
        <v>400</v>
      </c>
      <c r="J144" t="s">
        <v>38</v>
      </c>
      <c r="K144" t="s">
        <v>29</v>
      </c>
      <c r="L144" t="s">
        <v>38</v>
      </c>
      <c r="M144" t="str">
        <f t="shared" si="11"/>
        <v>Win</v>
      </c>
      <c r="N144" t="s">
        <v>522</v>
      </c>
      <c r="O144" t="s">
        <v>505</v>
      </c>
      <c r="P144" t="s">
        <v>524</v>
      </c>
    </row>
    <row r="145" spans="1:16" x14ac:dyDescent="0.3">
      <c r="A145" t="s">
        <v>722</v>
      </c>
      <c r="B145" s="1">
        <v>40520</v>
      </c>
      <c r="C145" s="1" t="str">
        <f t="shared" si="8"/>
        <v>Wednesday</v>
      </c>
      <c r="D145" s="1" t="str">
        <f t="shared" si="9"/>
        <v>December</v>
      </c>
      <c r="E145">
        <f t="shared" si="10"/>
        <v>2010</v>
      </c>
      <c r="F145" t="s">
        <v>407</v>
      </c>
      <c r="G145" t="s">
        <v>1</v>
      </c>
      <c r="H145" t="s">
        <v>17</v>
      </c>
      <c r="I145" t="s">
        <v>356</v>
      </c>
      <c r="J145" t="s">
        <v>38</v>
      </c>
      <c r="K145" t="s">
        <v>146</v>
      </c>
      <c r="L145" t="s">
        <v>38</v>
      </c>
      <c r="M145" t="str">
        <f t="shared" si="11"/>
        <v>Win</v>
      </c>
      <c r="N145" t="s">
        <v>998</v>
      </c>
      <c r="O145" t="s">
        <v>1001</v>
      </c>
      <c r="P145" t="s">
        <v>1001</v>
      </c>
    </row>
    <row r="146" spans="1:16" x14ac:dyDescent="0.3">
      <c r="A146" t="s">
        <v>723</v>
      </c>
      <c r="B146" s="1">
        <v>40521</v>
      </c>
      <c r="C146" s="1" t="str">
        <f t="shared" si="8"/>
        <v>Thursday</v>
      </c>
      <c r="D146" s="1" t="str">
        <f t="shared" si="9"/>
        <v>December</v>
      </c>
      <c r="E146">
        <f t="shared" si="10"/>
        <v>2010</v>
      </c>
      <c r="F146" t="s">
        <v>407</v>
      </c>
      <c r="G146" t="s">
        <v>1</v>
      </c>
      <c r="H146" t="s">
        <v>40</v>
      </c>
      <c r="I146" t="s">
        <v>356</v>
      </c>
      <c r="J146" t="s">
        <v>38</v>
      </c>
      <c r="K146" t="s">
        <v>338</v>
      </c>
      <c r="L146" t="s">
        <v>38</v>
      </c>
      <c r="M146" t="str">
        <f t="shared" si="11"/>
        <v>Win</v>
      </c>
      <c r="N146" t="s">
        <v>524</v>
      </c>
      <c r="O146" t="s">
        <v>1001</v>
      </c>
      <c r="P146" t="s">
        <v>1001</v>
      </c>
    </row>
    <row r="147" spans="1:16" x14ac:dyDescent="0.3">
      <c r="A147" t="s">
        <v>724</v>
      </c>
      <c r="B147" s="1">
        <v>40523</v>
      </c>
      <c r="C147" s="1" t="str">
        <f t="shared" si="8"/>
        <v>Saturday</v>
      </c>
      <c r="D147" s="1" t="str">
        <f t="shared" si="9"/>
        <v>December</v>
      </c>
      <c r="E147">
        <f t="shared" si="10"/>
        <v>2010</v>
      </c>
      <c r="F147" t="s">
        <v>407</v>
      </c>
      <c r="G147" t="s">
        <v>1</v>
      </c>
      <c r="H147" t="s">
        <v>46</v>
      </c>
      <c r="I147" t="s">
        <v>356</v>
      </c>
      <c r="J147" t="s">
        <v>38</v>
      </c>
      <c r="K147" t="s">
        <v>9</v>
      </c>
      <c r="L147" t="s">
        <v>38</v>
      </c>
      <c r="M147" t="str">
        <f t="shared" si="11"/>
        <v>Win</v>
      </c>
      <c r="N147" t="s">
        <v>485</v>
      </c>
      <c r="O147" t="s">
        <v>1001</v>
      </c>
      <c r="P147" t="s">
        <v>1001</v>
      </c>
    </row>
    <row r="148" spans="1:16" x14ac:dyDescent="0.3">
      <c r="A148" t="s">
        <v>725</v>
      </c>
      <c r="B148" s="1">
        <v>40524</v>
      </c>
      <c r="C148" s="1" t="str">
        <f t="shared" si="8"/>
        <v>Sunday</v>
      </c>
      <c r="D148" s="1" t="str">
        <f t="shared" si="9"/>
        <v>December</v>
      </c>
      <c r="E148">
        <f t="shared" si="10"/>
        <v>2010</v>
      </c>
      <c r="F148" t="s">
        <v>407</v>
      </c>
      <c r="G148" t="s">
        <v>1</v>
      </c>
      <c r="H148" t="s">
        <v>47</v>
      </c>
      <c r="I148" t="s">
        <v>356</v>
      </c>
      <c r="J148" t="s">
        <v>38</v>
      </c>
      <c r="K148" t="s">
        <v>30</v>
      </c>
      <c r="L148" t="s">
        <v>38</v>
      </c>
      <c r="M148" t="str">
        <f t="shared" si="11"/>
        <v>Win</v>
      </c>
      <c r="N148" t="s">
        <v>179</v>
      </c>
      <c r="O148" t="s">
        <v>1001</v>
      </c>
      <c r="P148" t="s">
        <v>1001</v>
      </c>
    </row>
    <row r="149" spans="1:16" x14ac:dyDescent="0.3">
      <c r="A149" t="s">
        <v>726</v>
      </c>
      <c r="B149" s="1">
        <v>40548</v>
      </c>
      <c r="C149" s="1" t="str">
        <f t="shared" si="8"/>
        <v>Wednesday</v>
      </c>
      <c r="D149" s="1" t="str">
        <f t="shared" si="9"/>
        <v>January</v>
      </c>
      <c r="E149">
        <f t="shared" si="10"/>
        <v>2011</v>
      </c>
      <c r="F149" t="s">
        <v>410</v>
      </c>
      <c r="G149" t="s">
        <v>286</v>
      </c>
      <c r="H149" t="s">
        <v>289</v>
      </c>
      <c r="J149" t="s">
        <v>38</v>
      </c>
      <c r="K149" t="s">
        <v>9</v>
      </c>
      <c r="L149" t="s">
        <v>38</v>
      </c>
      <c r="M149" t="str">
        <f t="shared" si="11"/>
        <v>Win</v>
      </c>
      <c r="N149" t="s">
        <v>998</v>
      </c>
      <c r="O149" t="s">
        <v>1001</v>
      </c>
      <c r="P149" t="s">
        <v>1001</v>
      </c>
    </row>
    <row r="150" spans="1:16" x14ac:dyDescent="0.3">
      <c r="A150" t="s">
        <v>727</v>
      </c>
      <c r="B150" s="1">
        <v>40549</v>
      </c>
      <c r="C150" s="1" t="str">
        <f t="shared" si="8"/>
        <v>Thursday</v>
      </c>
      <c r="D150" s="1" t="str">
        <f t="shared" si="9"/>
        <v>January</v>
      </c>
      <c r="E150">
        <f t="shared" si="10"/>
        <v>2011</v>
      </c>
      <c r="F150" t="s">
        <v>410</v>
      </c>
      <c r="G150" t="s">
        <v>286</v>
      </c>
      <c r="H150" t="s">
        <v>287</v>
      </c>
      <c r="J150" t="s">
        <v>38</v>
      </c>
      <c r="K150" t="s">
        <v>149</v>
      </c>
      <c r="L150" t="s">
        <v>38</v>
      </c>
      <c r="M150" t="str">
        <f t="shared" si="11"/>
        <v>Win</v>
      </c>
      <c r="N150" t="s">
        <v>385</v>
      </c>
      <c r="O150" t="s">
        <v>1001</v>
      </c>
      <c r="P150" t="s">
        <v>1001</v>
      </c>
    </row>
    <row r="151" spans="1:16" x14ac:dyDescent="0.3">
      <c r="A151" t="s">
        <v>728</v>
      </c>
      <c r="B151" s="1">
        <v>40550</v>
      </c>
      <c r="C151" s="1" t="str">
        <f t="shared" si="8"/>
        <v>Friday</v>
      </c>
      <c r="D151" s="1" t="str">
        <f t="shared" si="9"/>
        <v>January</v>
      </c>
      <c r="E151">
        <f t="shared" si="10"/>
        <v>2011</v>
      </c>
      <c r="F151" t="s">
        <v>410</v>
      </c>
      <c r="G151" t="s">
        <v>286</v>
      </c>
      <c r="H151" t="s">
        <v>288</v>
      </c>
      <c r="J151" t="s">
        <v>38</v>
      </c>
      <c r="K151" t="s">
        <v>21</v>
      </c>
      <c r="L151" t="s">
        <v>38</v>
      </c>
      <c r="M151" t="str">
        <f t="shared" si="11"/>
        <v>Win</v>
      </c>
      <c r="N151" t="s">
        <v>485</v>
      </c>
      <c r="O151" t="s">
        <v>1001</v>
      </c>
      <c r="P151" t="s">
        <v>1001</v>
      </c>
    </row>
    <row r="152" spans="1:16" x14ac:dyDescent="0.3">
      <c r="A152" t="s">
        <v>729</v>
      </c>
      <c r="B152" s="1">
        <v>40551</v>
      </c>
      <c r="C152" s="1" t="str">
        <f t="shared" si="8"/>
        <v>Saturday</v>
      </c>
      <c r="D152" s="1" t="str">
        <f t="shared" si="9"/>
        <v>January</v>
      </c>
      <c r="E152">
        <f t="shared" si="10"/>
        <v>2011</v>
      </c>
      <c r="F152" t="s">
        <v>410</v>
      </c>
      <c r="G152" t="s">
        <v>286</v>
      </c>
      <c r="H152" t="s">
        <v>46</v>
      </c>
      <c r="J152" t="s">
        <v>38</v>
      </c>
      <c r="K152" t="s">
        <v>23</v>
      </c>
      <c r="L152" t="s">
        <v>38</v>
      </c>
      <c r="M152" t="str">
        <f t="shared" si="11"/>
        <v>Win</v>
      </c>
      <c r="N152" t="s">
        <v>524</v>
      </c>
      <c r="O152" t="s">
        <v>1001</v>
      </c>
      <c r="P152" t="s">
        <v>1001</v>
      </c>
    </row>
    <row r="153" spans="1:16" x14ac:dyDescent="0.3">
      <c r="A153" t="s">
        <v>730</v>
      </c>
      <c r="B153" s="1">
        <v>40552</v>
      </c>
      <c r="C153" s="1" t="str">
        <f t="shared" si="8"/>
        <v>Sunday</v>
      </c>
      <c r="D153" s="1" t="str">
        <f t="shared" si="9"/>
        <v>January</v>
      </c>
      <c r="E153">
        <f t="shared" si="10"/>
        <v>2011</v>
      </c>
      <c r="F153" t="s">
        <v>410</v>
      </c>
      <c r="G153" t="s">
        <v>286</v>
      </c>
      <c r="H153" t="s">
        <v>47</v>
      </c>
      <c r="J153" t="s">
        <v>38</v>
      </c>
      <c r="K153" t="s">
        <v>21</v>
      </c>
      <c r="L153" t="s">
        <v>38</v>
      </c>
      <c r="M153" t="str">
        <f t="shared" si="11"/>
        <v>Win</v>
      </c>
      <c r="N153" t="s">
        <v>1011</v>
      </c>
      <c r="O153" t="s">
        <v>1001</v>
      </c>
      <c r="P153" t="s">
        <v>1001</v>
      </c>
    </row>
    <row r="154" spans="1:16" x14ac:dyDescent="0.3">
      <c r="A154" t="s">
        <v>731</v>
      </c>
      <c r="B154" s="1">
        <v>40562</v>
      </c>
      <c r="C154" s="1" t="str">
        <f t="shared" si="8"/>
        <v>Wednesday</v>
      </c>
      <c r="D154" s="1" t="str">
        <f t="shared" si="9"/>
        <v>January</v>
      </c>
      <c r="E154">
        <f t="shared" si="10"/>
        <v>2011</v>
      </c>
      <c r="F154" t="s">
        <v>411</v>
      </c>
      <c r="G154" t="s">
        <v>1</v>
      </c>
      <c r="H154" t="s">
        <v>17</v>
      </c>
      <c r="I154" t="s">
        <v>412</v>
      </c>
      <c r="J154" t="s">
        <v>38</v>
      </c>
      <c r="K154" t="s">
        <v>65</v>
      </c>
      <c r="L154" t="s">
        <v>38</v>
      </c>
      <c r="M154" t="str">
        <f t="shared" si="11"/>
        <v>Win</v>
      </c>
      <c r="N154" t="s">
        <v>524</v>
      </c>
      <c r="O154" t="s">
        <v>1001</v>
      </c>
      <c r="P154" t="s">
        <v>1001</v>
      </c>
    </row>
    <row r="155" spans="1:16" x14ac:dyDescent="0.3">
      <c r="A155" t="s">
        <v>732</v>
      </c>
      <c r="B155" s="1">
        <v>40563</v>
      </c>
      <c r="C155" s="1" t="str">
        <f t="shared" si="8"/>
        <v>Thursday</v>
      </c>
      <c r="D155" s="1" t="str">
        <f t="shared" si="9"/>
        <v>January</v>
      </c>
      <c r="E155">
        <f t="shared" si="10"/>
        <v>2011</v>
      </c>
      <c r="F155" t="s">
        <v>411</v>
      </c>
      <c r="G155" t="s">
        <v>1</v>
      </c>
      <c r="H155" t="s">
        <v>40</v>
      </c>
      <c r="I155" t="s">
        <v>412</v>
      </c>
      <c r="J155" t="s">
        <v>38</v>
      </c>
      <c r="K155" t="s">
        <v>220</v>
      </c>
      <c r="L155" t="s">
        <v>38</v>
      </c>
      <c r="M155" t="str">
        <f t="shared" si="11"/>
        <v>Win</v>
      </c>
      <c r="N155" t="s">
        <v>1012</v>
      </c>
      <c r="O155" t="s">
        <v>1001</v>
      </c>
      <c r="P155" t="s">
        <v>1001</v>
      </c>
    </row>
    <row r="156" spans="1:16" x14ac:dyDescent="0.3">
      <c r="A156" t="s">
        <v>733</v>
      </c>
      <c r="B156" s="1">
        <v>40564</v>
      </c>
      <c r="C156" s="1" t="str">
        <f t="shared" si="8"/>
        <v>Friday</v>
      </c>
      <c r="D156" s="1" t="str">
        <f t="shared" si="9"/>
        <v>January</v>
      </c>
      <c r="E156">
        <f t="shared" si="10"/>
        <v>2011</v>
      </c>
      <c r="F156" t="s">
        <v>411</v>
      </c>
      <c r="G156" t="s">
        <v>1</v>
      </c>
      <c r="H156" t="s">
        <v>42</v>
      </c>
      <c r="I156" t="s">
        <v>412</v>
      </c>
      <c r="J156" t="s">
        <v>38</v>
      </c>
      <c r="K156" t="s">
        <v>9</v>
      </c>
      <c r="L156" t="s">
        <v>38</v>
      </c>
      <c r="M156" t="str">
        <f t="shared" si="11"/>
        <v>Win</v>
      </c>
      <c r="N156" t="s">
        <v>1002</v>
      </c>
      <c r="O156" t="s">
        <v>1001</v>
      </c>
      <c r="P156" t="s">
        <v>1001</v>
      </c>
    </row>
    <row r="157" spans="1:16" x14ac:dyDescent="0.3">
      <c r="A157" t="s">
        <v>734</v>
      </c>
      <c r="B157" s="1">
        <v>40565</v>
      </c>
      <c r="C157" s="1" t="str">
        <f t="shared" si="8"/>
        <v>Saturday</v>
      </c>
      <c r="D157" s="1" t="str">
        <f t="shared" si="9"/>
        <v>January</v>
      </c>
      <c r="E157">
        <f t="shared" si="10"/>
        <v>2011</v>
      </c>
      <c r="F157" t="s">
        <v>411</v>
      </c>
      <c r="G157" t="s">
        <v>1</v>
      </c>
      <c r="H157" t="s">
        <v>46</v>
      </c>
      <c r="I157" t="s">
        <v>412</v>
      </c>
      <c r="J157" t="s">
        <v>38</v>
      </c>
      <c r="K157" t="s">
        <v>253</v>
      </c>
      <c r="L157" t="s">
        <v>38</v>
      </c>
      <c r="M157" t="str">
        <f t="shared" si="11"/>
        <v>Win</v>
      </c>
      <c r="N157" t="s">
        <v>1011</v>
      </c>
      <c r="O157" t="s">
        <v>1001</v>
      </c>
      <c r="P157" t="s">
        <v>1001</v>
      </c>
    </row>
    <row r="158" spans="1:16" x14ac:dyDescent="0.3">
      <c r="A158" t="s">
        <v>735</v>
      </c>
      <c r="B158" s="1">
        <v>40566</v>
      </c>
      <c r="C158" s="1" t="str">
        <f t="shared" si="8"/>
        <v>Sunday</v>
      </c>
      <c r="D158" s="1" t="str">
        <f t="shared" si="9"/>
        <v>January</v>
      </c>
      <c r="E158">
        <f t="shared" si="10"/>
        <v>2011</v>
      </c>
      <c r="F158" t="s">
        <v>411</v>
      </c>
      <c r="G158" t="s">
        <v>1</v>
      </c>
      <c r="H158" t="s">
        <v>47</v>
      </c>
      <c r="I158" t="s">
        <v>412</v>
      </c>
      <c r="J158" t="s">
        <v>38</v>
      </c>
      <c r="K158" t="s">
        <v>30</v>
      </c>
      <c r="L158" t="s">
        <v>38</v>
      </c>
      <c r="M158" t="str">
        <f t="shared" si="11"/>
        <v>Win</v>
      </c>
      <c r="N158" t="s">
        <v>1004</v>
      </c>
      <c r="O158" t="s">
        <v>1001</v>
      </c>
      <c r="P158" t="s">
        <v>1001</v>
      </c>
    </row>
    <row r="159" spans="1:16" x14ac:dyDescent="0.3">
      <c r="A159" t="s">
        <v>736</v>
      </c>
      <c r="B159" s="1">
        <v>40569</v>
      </c>
      <c r="C159" s="1" t="str">
        <f t="shared" si="8"/>
        <v>Wednesday</v>
      </c>
      <c r="D159" s="1" t="str">
        <f t="shared" si="9"/>
        <v>January</v>
      </c>
      <c r="E159">
        <f t="shared" si="10"/>
        <v>2011</v>
      </c>
      <c r="F159" t="s">
        <v>413</v>
      </c>
      <c r="G159" t="s">
        <v>286</v>
      </c>
      <c r="H159" t="s">
        <v>17</v>
      </c>
      <c r="I159" t="s">
        <v>48</v>
      </c>
      <c r="J159" t="s">
        <v>38</v>
      </c>
      <c r="K159" t="s">
        <v>149</v>
      </c>
      <c r="L159" t="s">
        <v>38</v>
      </c>
      <c r="M159" t="str">
        <f t="shared" si="11"/>
        <v>Win</v>
      </c>
      <c r="N159" t="s">
        <v>1011</v>
      </c>
      <c r="O159" t="s">
        <v>999</v>
      </c>
      <c r="P159" t="s">
        <v>550</v>
      </c>
    </row>
    <row r="160" spans="1:16" x14ac:dyDescent="0.3">
      <c r="A160" t="s">
        <v>737</v>
      </c>
      <c r="B160" s="1">
        <v>40570</v>
      </c>
      <c r="C160" s="1" t="str">
        <f t="shared" si="8"/>
        <v>Thursday</v>
      </c>
      <c r="D160" s="1" t="str">
        <f t="shared" si="9"/>
        <v>January</v>
      </c>
      <c r="E160">
        <f t="shared" si="10"/>
        <v>2011</v>
      </c>
      <c r="F160" t="s">
        <v>413</v>
      </c>
      <c r="G160" t="s">
        <v>286</v>
      </c>
      <c r="H160" t="s">
        <v>40</v>
      </c>
      <c r="I160" t="s">
        <v>48</v>
      </c>
      <c r="J160" t="s">
        <v>38</v>
      </c>
      <c r="K160" t="s">
        <v>20</v>
      </c>
      <c r="L160" t="s">
        <v>38</v>
      </c>
      <c r="M160" t="str">
        <f t="shared" si="11"/>
        <v>Win</v>
      </c>
      <c r="N160" t="s">
        <v>485</v>
      </c>
      <c r="O160" t="s">
        <v>1001</v>
      </c>
      <c r="P160" t="s">
        <v>1001</v>
      </c>
    </row>
    <row r="161" spans="1:16" x14ac:dyDescent="0.3">
      <c r="A161" t="s">
        <v>738</v>
      </c>
      <c r="B161" s="1">
        <v>40571</v>
      </c>
      <c r="C161" s="1" t="str">
        <f t="shared" si="8"/>
        <v>Friday</v>
      </c>
      <c r="D161" s="1" t="str">
        <f t="shared" si="9"/>
        <v>January</v>
      </c>
      <c r="E161">
        <f t="shared" si="10"/>
        <v>2011</v>
      </c>
      <c r="F161" t="s">
        <v>413</v>
      </c>
      <c r="G161" t="s">
        <v>286</v>
      </c>
      <c r="H161" t="s">
        <v>42</v>
      </c>
      <c r="I161" t="s">
        <v>48</v>
      </c>
      <c r="J161" t="s">
        <v>38</v>
      </c>
      <c r="K161" t="s">
        <v>338</v>
      </c>
      <c r="L161" t="s">
        <v>38</v>
      </c>
      <c r="M161" t="str">
        <f t="shared" si="11"/>
        <v>Win</v>
      </c>
      <c r="N161" t="s">
        <v>485</v>
      </c>
      <c r="O161" t="s">
        <v>1001</v>
      </c>
      <c r="P161" t="s">
        <v>1001</v>
      </c>
    </row>
    <row r="162" spans="1:16" x14ac:dyDescent="0.3">
      <c r="A162" t="s">
        <v>739</v>
      </c>
      <c r="B162" s="1">
        <v>40572</v>
      </c>
      <c r="C162" s="1" t="str">
        <f t="shared" si="8"/>
        <v>Saturday</v>
      </c>
      <c r="D162" s="1" t="str">
        <f t="shared" si="9"/>
        <v>January</v>
      </c>
      <c r="E162">
        <f t="shared" si="10"/>
        <v>2011</v>
      </c>
      <c r="F162" t="s">
        <v>413</v>
      </c>
      <c r="G162" t="s">
        <v>286</v>
      </c>
      <c r="H162" t="s">
        <v>46</v>
      </c>
      <c r="I162" t="s">
        <v>48</v>
      </c>
      <c r="J162" t="s">
        <v>38</v>
      </c>
      <c r="K162" t="s">
        <v>120</v>
      </c>
      <c r="L162" t="s">
        <v>38</v>
      </c>
      <c r="M162" t="str">
        <f t="shared" si="11"/>
        <v>Win</v>
      </c>
      <c r="N162" t="s">
        <v>1005</v>
      </c>
      <c r="O162" t="s">
        <v>1001</v>
      </c>
      <c r="P162" t="s">
        <v>1001</v>
      </c>
    </row>
    <row r="163" spans="1:16" x14ac:dyDescent="0.3">
      <c r="A163" t="s">
        <v>740</v>
      </c>
      <c r="B163" s="1">
        <v>40573</v>
      </c>
      <c r="C163" s="1" t="str">
        <f t="shared" si="8"/>
        <v>Sunday</v>
      </c>
      <c r="D163" s="1" t="str">
        <f t="shared" si="9"/>
        <v>January</v>
      </c>
      <c r="E163">
        <f t="shared" si="10"/>
        <v>2011</v>
      </c>
      <c r="F163" t="s">
        <v>413</v>
      </c>
      <c r="G163" t="s">
        <v>286</v>
      </c>
      <c r="H163" t="s">
        <v>47</v>
      </c>
      <c r="I163" t="s">
        <v>48</v>
      </c>
      <c r="J163" t="s">
        <v>38</v>
      </c>
      <c r="K163" t="s">
        <v>29</v>
      </c>
      <c r="L163" t="s">
        <v>29</v>
      </c>
      <c r="M163" t="str">
        <f t="shared" si="11"/>
        <v>Loss</v>
      </c>
      <c r="N163" t="s">
        <v>409</v>
      </c>
      <c r="O163" t="s">
        <v>485</v>
      </c>
      <c r="P163" t="s">
        <v>505</v>
      </c>
    </row>
    <row r="164" spans="1:16" x14ac:dyDescent="0.3">
      <c r="A164" t="s">
        <v>741</v>
      </c>
      <c r="B164" s="1">
        <v>40611</v>
      </c>
      <c r="C164" s="1" t="str">
        <f t="shared" si="8"/>
        <v>Wednesday</v>
      </c>
      <c r="D164" s="1" t="str">
        <f t="shared" si="9"/>
        <v>March</v>
      </c>
      <c r="E164">
        <f t="shared" si="10"/>
        <v>2011</v>
      </c>
      <c r="F164" t="s">
        <v>416</v>
      </c>
      <c r="G164" t="s">
        <v>286</v>
      </c>
      <c r="H164" t="s">
        <v>17</v>
      </c>
      <c r="I164" t="s">
        <v>374</v>
      </c>
      <c r="J164" t="s">
        <v>38</v>
      </c>
      <c r="K164" t="s">
        <v>155</v>
      </c>
      <c r="L164" t="s">
        <v>38</v>
      </c>
      <c r="M164" t="str">
        <f t="shared" si="11"/>
        <v>Win</v>
      </c>
      <c r="N164" t="s">
        <v>1011</v>
      </c>
      <c r="O164" t="s">
        <v>1001</v>
      </c>
      <c r="P164" t="s">
        <v>1001</v>
      </c>
    </row>
    <row r="165" spans="1:16" x14ac:dyDescent="0.3">
      <c r="A165" t="s">
        <v>742</v>
      </c>
      <c r="B165" s="1">
        <v>40612</v>
      </c>
      <c r="C165" s="1" t="str">
        <f t="shared" si="8"/>
        <v>Thursday</v>
      </c>
      <c r="D165" s="1" t="str">
        <f t="shared" si="9"/>
        <v>March</v>
      </c>
      <c r="E165">
        <f t="shared" si="10"/>
        <v>2011</v>
      </c>
      <c r="F165" t="s">
        <v>416</v>
      </c>
      <c r="G165" t="s">
        <v>286</v>
      </c>
      <c r="H165" t="s">
        <v>40</v>
      </c>
      <c r="I165" t="s">
        <v>374</v>
      </c>
      <c r="J165" t="s">
        <v>38</v>
      </c>
      <c r="K165" t="s">
        <v>39</v>
      </c>
      <c r="L165" t="s">
        <v>38</v>
      </c>
      <c r="M165" t="str">
        <f t="shared" si="11"/>
        <v>Win</v>
      </c>
      <c r="N165" t="s">
        <v>550</v>
      </c>
      <c r="O165" t="s">
        <v>1001</v>
      </c>
      <c r="P165" t="s">
        <v>1001</v>
      </c>
    </row>
    <row r="166" spans="1:16" x14ac:dyDescent="0.3">
      <c r="A166" t="s">
        <v>743</v>
      </c>
      <c r="B166" s="1">
        <v>40613</v>
      </c>
      <c r="C166" s="1" t="str">
        <f t="shared" si="8"/>
        <v>Friday</v>
      </c>
      <c r="D166" s="1" t="str">
        <f t="shared" si="9"/>
        <v>March</v>
      </c>
      <c r="E166">
        <f t="shared" si="10"/>
        <v>2011</v>
      </c>
      <c r="F166" t="s">
        <v>416</v>
      </c>
      <c r="G166" t="s">
        <v>286</v>
      </c>
      <c r="H166" t="s">
        <v>42</v>
      </c>
      <c r="I166" t="s">
        <v>374</v>
      </c>
      <c r="J166" t="s">
        <v>38</v>
      </c>
      <c r="K166" t="s">
        <v>23</v>
      </c>
      <c r="L166" t="s">
        <v>38</v>
      </c>
      <c r="M166" t="str">
        <f t="shared" si="11"/>
        <v>Win</v>
      </c>
      <c r="N166" t="s">
        <v>1002</v>
      </c>
      <c r="O166" t="s">
        <v>1001</v>
      </c>
      <c r="P166" t="s">
        <v>1001</v>
      </c>
    </row>
    <row r="167" spans="1:16" x14ac:dyDescent="0.3">
      <c r="A167" t="s">
        <v>744</v>
      </c>
      <c r="B167" s="1">
        <v>40614</v>
      </c>
      <c r="C167" s="1" t="str">
        <f t="shared" si="8"/>
        <v>Saturday</v>
      </c>
      <c r="D167" s="1" t="str">
        <f t="shared" si="9"/>
        <v>March</v>
      </c>
      <c r="E167">
        <f t="shared" si="10"/>
        <v>2011</v>
      </c>
      <c r="F167" t="s">
        <v>416</v>
      </c>
      <c r="G167" t="s">
        <v>286</v>
      </c>
      <c r="H167" t="s">
        <v>46</v>
      </c>
      <c r="I167" t="s">
        <v>374</v>
      </c>
      <c r="J167" t="s">
        <v>38</v>
      </c>
      <c r="K167" t="s">
        <v>253</v>
      </c>
      <c r="L167" t="s">
        <v>38</v>
      </c>
      <c r="M167" t="str">
        <f t="shared" si="11"/>
        <v>Win</v>
      </c>
      <c r="N167" t="s">
        <v>524</v>
      </c>
      <c r="O167" t="s">
        <v>1001</v>
      </c>
      <c r="P167" t="s">
        <v>1001</v>
      </c>
    </row>
    <row r="168" spans="1:16" x14ac:dyDescent="0.3">
      <c r="A168" t="s">
        <v>745</v>
      </c>
      <c r="B168" s="1">
        <v>40615</v>
      </c>
      <c r="C168" s="1" t="str">
        <f t="shared" si="8"/>
        <v>Sunday</v>
      </c>
      <c r="D168" s="1" t="str">
        <f t="shared" si="9"/>
        <v>March</v>
      </c>
      <c r="E168">
        <f t="shared" si="10"/>
        <v>2011</v>
      </c>
      <c r="F168" t="s">
        <v>416</v>
      </c>
      <c r="G168" t="s">
        <v>286</v>
      </c>
      <c r="H168" t="s">
        <v>47</v>
      </c>
      <c r="I168" t="s">
        <v>374</v>
      </c>
      <c r="J168" t="s">
        <v>38</v>
      </c>
      <c r="K168" t="s">
        <v>29</v>
      </c>
      <c r="L168" t="s">
        <v>38</v>
      </c>
      <c r="M168" t="str">
        <f t="shared" si="11"/>
        <v>Win</v>
      </c>
      <c r="N168" t="s">
        <v>524</v>
      </c>
      <c r="O168" t="s">
        <v>1001</v>
      </c>
      <c r="P168" t="s">
        <v>1001</v>
      </c>
    </row>
    <row r="169" spans="1:16" x14ac:dyDescent="0.3">
      <c r="A169" t="s">
        <v>746</v>
      </c>
      <c r="B169" s="1">
        <v>40660</v>
      </c>
      <c r="C169" s="1" t="str">
        <f t="shared" si="8"/>
        <v>Wednesday</v>
      </c>
      <c r="D169" s="1" t="str">
        <f t="shared" si="9"/>
        <v>April</v>
      </c>
      <c r="E169">
        <f t="shared" si="10"/>
        <v>2011</v>
      </c>
      <c r="F169" t="s">
        <v>417</v>
      </c>
      <c r="G169" t="s">
        <v>1</v>
      </c>
      <c r="H169" t="s">
        <v>17</v>
      </c>
      <c r="I169" t="s">
        <v>378</v>
      </c>
      <c r="J169" t="s">
        <v>38</v>
      </c>
      <c r="K169" t="s">
        <v>79</v>
      </c>
      <c r="L169" t="s">
        <v>38</v>
      </c>
      <c r="M169" t="str">
        <f t="shared" si="11"/>
        <v>Win</v>
      </c>
      <c r="N169" t="s">
        <v>179</v>
      </c>
      <c r="O169" t="s">
        <v>1001</v>
      </c>
      <c r="P169" t="s">
        <v>1001</v>
      </c>
    </row>
    <row r="170" spans="1:16" x14ac:dyDescent="0.3">
      <c r="A170" t="s">
        <v>747</v>
      </c>
      <c r="B170" s="1">
        <v>40661</v>
      </c>
      <c r="C170" s="1" t="str">
        <f t="shared" si="8"/>
        <v>Thursday</v>
      </c>
      <c r="D170" s="1" t="str">
        <f t="shared" si="9"/>
        <v>April</v>
      </c>
      <c r="E170">
        <f t="shared" si="10"/>
        <v>2011</v>
      </c>
      <c r="F170" t="s">
        <v>417</v>
      </c>
      <c r="G170" t="s">
        <v>1</v>
      </c>
      <c r="H170" t="s">
        <v>40</v>
      </c>
      <c r="I170" t="s">
        <v>378</v>
      </c>
      <c r="J170" t="s">
        <v>38</v>
      </c>
      <c r="K170" t="s">
        <v>54</v>
      </c>
      <c r="L170" t="s">
        <v>38</v>
      </c>
      <c r="M170" t="str">
        <f t="shared" si="11"/>
        <v>Win</v>
      </c>
      <c r="N170" t="s">
        <v>203</v>
      </c>
      <c r="O170" t="s">
        <v>1001</v>
      </c>
      <c r="P170" t="s">
        <v>1001</v>
      </c>
    </row>
    <row r="171" spans="1:16" x14ac:dyDescent="0.3">
      <c r="A171" t="s">
        <v>748</v>
      </c>
      <c r="B171" s="1">
        <v>40662</v>
      </c>
      <c r="C171" s="1" t="str">
        <f t="shared" si="8"/>
        <v>Friday</v>
      </c>
      <c r="D171" s="1" t="str">
        <f t="shared" si="9"/>
        <v>April</v>
      </c>
      <c r="E171">
        <f t="shared" si="10"/>
        <v>2011</v>
      </c>
      <c r="F171" t="s">
        <v>417</v>
      </c>
      <c r="G171" t="s">
        <v>1</v>
      </c>
      <c r="H171" t="s">
        <v>42</v>
      </c>
      <c r="I171" t="s">
        <v>378</v>
      </c>
      <c r="J171" t="s">
        <v>38</v>
      </c>
      <c r="K171" t="s">
        <v>255</v>
      </c>
      <c r="L171" t="s">
        <v>38</v>
      </c>
      <c r="M171" t="str">
        <f t="shared" si="11"/>
        <v>Win</v>
      </c>
      <c r="N171" t="s">
        <v>1006</v>
      </c>
      <c r="O171" t="s">
        <v>1001</v>
      </c>
      <c r="P171" t="s">
        <v>1001</v>
      </c>
    </row>
    <row r="172" spans="1:16" x14ac:dyDescent="0.3">
      <c r="A172" t="s">
        <v>749</v>
      </c>
      <c r="B172" s="1">
        <v>40663</v>
      </c>
      <c r="C172" s="1" t="str">
        <f t="shared" si="8"/>
        <v>Saturday</v>
      </c>
      <c r="D172" s="1" t="str">
        <f t="shared" si="9"/>
        <v>April</v>
      </c>
      <c r="E172">
        <f t="shared" si="10"/>
        <v>2011</v>
      </c>
      <c r="F172" t="s">
        <v>417</v>
      </c>
      <c r="G172" t="s">
        <v>1</v>
      </c>
      <c r="H172" t="s">
        <v>46</v>
      </c>
      <c r="I172" t="s">
        <v>378</v>
      </c>
      <c r="J172" t="s">
        <v>38</v>
      </c>
      <c r="K172" t="s">
        <v>220</v>
      </c>
      <c r="L172" t="s">
        <v>38</v>
      </c>
      <c r="M172" t="str">
        <f t="shared" si="11"/>
        <v>Win</v>
      </c>
      <c r="N172" t="s">
        <v>1010</v>
      </c>
      <c r="O172" t="s">
        <v>1001</v>
      </c>
      <c r="P172" t="s">
        <v>1001</v>
      </c>
    </row>
    <row r="173" spans="1:16" x14ac:dyDescent="0.3">
      <c r="A173" t="s">
        <v>750</v>
      </c>
      <c r="B173" s="1">
        <v>40664</v>
      </c>
      <c r="C173" s="1" t="str">
        <f t="shared" si="8"/>
        <v>Sunday</v>
      </c>
      <c r="D173" s="1" t="str">
        <f t="shared" si="9"/>
        <v>May</v>
      </c>
      <c r="E173">
        <f t="shared" si="10"/>
        <v>2011</v>
      </c>
      <c r="F173" t="s">
        <v>417</v>
      </c>
      <c r="G173" t="s">
        <v>1</v>
      </c>
      <c r="H173" t="s">
        <v>47</v>
      </c>
      <c r="I173" t="s">
        <v>378</v>
      </c>
      <c r="J173" t="s">
        <v>38</v>
      </c>
      <c r="K173" t="s">
        <v>21</v>
      </c>
      <c r="L173" t="s">
        <v>38</v>
      </c>
      <c r="M173" t="str">
        <f t="shared" si="11"/>
        <v>Win</v>
      </c>
      <c r="N173" t="s">
        <v>998</v>
      </c>
      <c r="O173" t="s">
        <v>1014</v>
      </c>
      <c r="P173" t="s">
        <v>1002</v>
      </c>
    </row>
    <row r="174" spans="1:16" x14ac:dyDescent="0.3">
      <c r="A174" t="s">
        <v>751</v>
      </c>
      <c r="B174" s="1">
        <v>40667</v>
      </c>
      <c r="C174" s="1" t="str">
        <f t="shared" si="8"/>
        <v>Wednesday</v>
      </c>
      <c r="D174" s="1" t="str">
        <f t="shared" si="9"/>
        <v>May</v>
      </c>
      <c r="E174">
        <f t="shared" si="10"/>
        <v>2011</v>
      </c>
      <c r="F174" t="s">
        <v>419</v>
      </c>
      <c r="G174" t="s">
        <v>219</v>
      </c>
      <c r="H174" t="s">
        <v>222</v>
      </c>
      <c r="I174" t="s">
        <v>420</v>
      </c>
      <c r="J174" t="s">
        <v>38</v>
      </c>
      <c r="K174" t="s">
        <v>208</v>
      </c>
      <c r="L174" t="s">
        <v>38</v>
      </c>
      <c r="M174" t="str">
        <f t="shared" si="11"/>
        <v>Win</v>
      </c>
      <c r="N174" t="s">
        <v>1006</v>
      </c>
      <c r="O174" t="s">
        <v>1001</v>
      </c>
      <c r="P174" t="s">
        <v>1001</v>
      </c>
    </row>
    <row r="175" spans="1:16" x14ac:dyDescent="0.3">
      <c r="A175" t="s">
        <v>752</v>
      </c>
      <c r="B175" s="1">
        <v>40667</v>
      </c>
      <c r="C175" s="1" t="str">
        <f t="shared" si="8"/>
        <v>Wednesday</v>
      </c>
      <c r="D175" s="1" t="str">
        <f t="shared" si="9"/>
        <v>May</v>
      </c>
      <c r="E175">
        <f t="shared" si="10"/>
        <v>2011</v>
      </c>
      <c r="F175" t="s">
        <v>419</v>
      </c>
      <c r="G175" t="s">
        <v>219</v>
      </c>
      <c r="H175" t="s">
        <v>17</v>
      </c>
      <c r="I175" t="s">
        <v>420</v>
      </c>
      <c r="J175" t="s">
        <v>38</v>
      </c>
      <c r="K175" t="s">
        <v>136</v>
      </c>
      <c r="L175" t="s">
        <v>38</v>
      </c>
      <c r="M175" t="str">
        <f t="shared" si="11"/>
        <v>Win</v>
      </c>
      <c r="N175" t="s">
        <v>1004</v>
      </c>
      <c r="O175" t="s">
        <v>1001</v>
      </c>
      <c r="P175" t="s">
        <v>1001</v>
      </c>
    </row>
    <row r="176" spans="1:16" x14ac:dyDescent="0.3">
      <c r="A176" t="s">
        <v>753</v>
      </c>
      <c r="B176" s="1">
        <v>40668</v>
      </c>
      <c r="C176" s="1" t="str">
        <f t="shared" si="8"/>
        <v>Thursday</v>
      </c>
      <c r="D176" s="1" t="str">
        <f t="shared" si="9"/>
        <v>May</v>
      </c>
      <c r="E176">
        <f t="shared" si="10"/>
        <v>2011</v>
      </c>
      <c r="F176" t="s">
        <v>419</v>
      </c>
      <c r="G176" t="s">
        <v>219</v>
      </c>
      <c r="H176" t="s">
        <v>40</v>
      </c>
      <c r="I176" t="s">
        <v>420</v>
      </c>
      <c r="J176" t="s">
        <v>38</v>
      </c>
      <c r="K176" t="s">
        <v>65</v>
      </c>
      <c r="L176" t="s">
        <v>38</v>
      </c>
      <c r="M176" t="str">
        <f t="shared" si="11"/>
        <v>Win</v>
      </c>
      <c r="N176" t="s">
        <v>179</v>
      </c>
      <c r="O176" t="s">
        <v>1001</v>
      </c>
      <c r="P176" t="s">
        <v>1001</v>
      </c>
    </row>
    <row r="177" spans="1:16" x14ac:dyDescent="0.3">
      <c r="A177" t="s">
        <v>754</v>
      </c>
      <c r="B177" s="1">
        <v>40669</v>
      </c>
      <c r="C177" s="1" t="str">
        <f t="shared" si="8"/>
        <v>Friday</v>
      </c>
      <c r="D177" s="1" t="str">
        <f t="shared" si="9"/>
        <v>May</v>
      </c>
      <c r="E177">
        <f t="shared" si="10"/>
        <v>2011</v>
      </c>
      <c r="F177" t="s">
        <v>419</v>
      </c>
      <c r="G177" t="s">
        <v>219</v>
      </c>
      <c r="H177" t="s">
        <v>42</v>
      </c>
      <c r="I177" t="s">
        <v>420</v>
      </c>
      <c r="J177" t="s">
        <v>38</v>
      </c>
      <c r="K177" t="s">
        <v>155</v>
      </c>
      <c r="L177" t="s">
        <v>38</v>
      </c>
      <c r="M177" t="str">
        <f t="shared" si="11"/>
        <v>Win</v>
      </c>
      <c r="N177" t="s">
        <v>524</v>
      </c>
      <c r="O177" t="s">
        <v>1001</v>
      </c>
      <c r="P177" t="s">
        <v>1001</v>
      </c>
    </row>
    <row r="178" spans="1:16" x14ac:dyDescent="0.3">
      <c r="A178" t="s">
        <v>755</v>
      </c>
      <c r="B178" s="1">
        <v>40670</v>
      </c>
      <c r="C178" s="1" t="str">
        <f t="shared" si="8"/>
        <v>Saturday</v>
      </c>
      <c r="D178" s="1" t="str">
        <f t="shared" si="9"/>
        <v>May</v>
      </c>
      <c r="E178">
        <f t="shared" si="10"/>
        <v>2011</v>
      </c>
      <c r="F178" t="s">
        <v>419</v>
      </c>
      <c r="G178" t="s">
        <v>219</v>
      </c>
      <c r="H178" t="s">
        <v>46</v>
      </c>
      <c r="I178" t="s">
        <v>420</v>
      </c>
      <c r="J178" t="s">
        <v>38</v>
      </c>
      <c r="K178" t="s">
        <v>137</v>
      </c>
      <c r="L178" t="s">
        <v>38</v>
      </c>
      <c r="M178" t="str">
        <f t="shared" si="11"/>
        <v>Win</v>
      </c>
      <c r="N178" t="s">
        <v>203</v>
      </c>
      <c r="O178" t="s">
        <v>1001</v>
      </c>
      <c r="P178" t="s">
        <v>1001</v>
      </c>
    </row>
    <row r="179" spans="1:16" x14ac:dyDescent="0.3">
      <c r="A179" t="s">
        <v>756</v>
      </c>
      <c r="B179" s="1">
        <v>40671</v>
      </c>
      <c r="C179" s="1" t="str">
        <f t="shared" si="8"/>
        <v>Sunday</v>
      </c>
      <c r="D179" s="1" t="str">
        <f t="shared" si="9"/>
        <v>May</v>
      </c>
      <c r="E179">
        <f t="shared" si="10"/>
        <v>2011</v>
      </c>
      <c r="F179" t="s">
        <v>419</v>
      </c>
      <c r="G179" t="s">
        <v>219</v>
      </c>
      <c r="H179" t="s">
        <v>47</v>
      </c>
      <c r="I179" t="s">
        <v>420</v>
      </c>
      <c r="J179" t="s">
        <v>38</v>
      </c>
      <c r="K179" t="s">
        <v>39</v>
      </c>
      <c r="L179" t="s">
        <v>38</v>
      </c>
      <c r="M179" t="str">
        <f t="shared" si="11"/>
        <v>Win</v>
      </c>
      <c r="N179" t="s">
        <v>1011</v>
      </c>
      <c r="O179" t="s">
        <v>1001</v>
      </c>
      <c r="P179" t="s">
        <v>1001</v>
      </c>
    </row>
    <row r="180" spans="1:16" x14ac:dyDescent="0.3">
      <c r="A180" t="s">
        <v>757</v>
      </c>
      <c r="B180" s="1">
        <v>40716</v>
      </c>
      <c r="C180" s="1" t="str">
        <f t="shared" si="8"/>
        <v>Wednesday</v>
      </c>
      <c r="D180" s="1" t="str">
        <f t="shared" si="9"/>
        <v>June</v>
      </c>
      <c r="E180">
        <f t="shared" si="10"/>
        <v>2011</v>
      </c>
      <c r="F180" t="s">
        <v>423</v>
      </c>
      <c r="G180" t="s">
        <v>286</v>
      </c>
      <c r="H180" t="s">
        <v>17</v>
      </c>
      <c r="J180" t="s">
        <v>38</v>
      </c>
      <c r="K180" t="s">
        <v>65</v>
      </c>
      <c r="L180" t="s">
        <v>38</v>
      </c>
      <c r="M180" t="str">
        <f t="shared" si="11"/>
        <v>Win</v>
      </c>
      <c r="N180" t="s">
        <v>550</v>
      </c>
      <c r="O180" t="s">
        <v>1001</v>
      </c>
      <c r="P180" t="s">
        <v>1001</v>
      </c>
    </row>
    <row r="181" spans="1:16" x14ac:dyDescent="0.3">
      <c r="A181" t="s">
        <v>758</v>
      </c>
      <c r="B181" s="1">
        <v>40717</v>
      </c>
      <c r="C181" s="1" t="str">
        <f t="shared" si="8"/>
        <v>Thursday</v>
      </c>
      <c r="D181" s="1" t="str">
        <f t="shared" si="9"/>
        <v>June</v>
      </c>
      <c r="E181">
        <f t="shared" si="10"/>
        <v>2011</v>
      </c>
      <c r="F181" t="s">
        <v>423</v>
      </c>
      <c r="G181" t="s">
        <v>286</v>
      </c>
      <c r="H181" t="s">
        <v>40</v>
      </c>
      <c r="J181" t="s">
        <v>38</v>
      </c>
      <c r="K181" t="s">
        <v>169</v>
      </c>
      <c r="L181" t="s">
        <v>38</v>
      </c>
      <c r="M181" t="str">
        <f t="shared" si="11"/>
        <v>Win</v>
      </c>
      <c r="N181" t="s">
        <v>524</v>
      </c>
      <c r="O181" t="s">
        <v>1001</v>
      </c>
      <c r="P181" t="s">
        <v>1001</v>
      </c>
    </row>
    <row r="182" spans="1:16" x14ac:dyDescent="0.3">
      <c r="A182" t="s">
        <v>759</v>
      </c>
      <c r="B182" s="1">
        <v>40718</v>
      </c>
      <c r="C182" s="1" t="str">
        <f t="shared" si="8"/>
        <v>Friday</v>
      </c>
      <c r="D182" s="1" t="str">
        <f t="shared" si="9"/>
        <v>June</v>
      </c>
      <c r="E182">
        <f t="shared" si="10"/>
        <v>2011</v>
      </c>
      <c r="F182" t="s">
        <v>423</v>
      </c>
      <c r="G182" t="s">
        <v>286</v>
      </c>
      <c r="H182" t="s">
        <v>42</v>
      </c>
      <c r="J182" t="s">
        <v>38</v>
      </c>
      <c r="K182" t="s">
        <v>9</v>
      </c>
      <c r="L182" t="s">
        <v>38</v>
      </c>
      <c r="M182" t="str">
        <f t="shared" si="11"/>
        <v>Win</v>
      </c>
      <c r="N182" t="s">
        <v>1005</v>
      </c>
      <c r="O182" t="s">
        <v>1001</v>
      </c>
      <c r="P182" t="s">
        <v>1001</v>
      </c>
    </row>
    <row r="183" spans="1:16" x14ac:dyDescent="0.3">
      <c r="A183" t="s">
        <v>760</v>
      </c>
      <c r="B183" s="1">
        <v>40719</v>
      </c>
      <c r="C183" s="1" t="str">
        <f t="shared" si="8"/>
        <v>Saturday</v>
      </c>
      <c r="D183" s="1" t="str">
        <f t="shared" si="9"/>
        <v>June</v>
      </c>
      <c r="E183">
        <f t="shared" si="10"/>
        <v>2011</v>
      </c>
      <c r="F183" t="s">
        <v>423</v>
      </c>
      <c r="G183" t="s">
        <v>286</v>
      </c>
      <c r="H183" t="s">
        <v>46</v>
      </c>
      <c r="J183" t="s">
        <v>38</v>
      </c>
      <c r="K183" t="s">
        <v>253</v>
      </c>
      <c r="L183" t="s">
        <v>38</v>
      </c>
      <c r="M183" t="str">
        <f t="shared" si="11"/>
        <v>Win</v>
      </c>
      <c r="N183" t="s">
        <v>524</v>
      </c>
      <c r="O183" t="s">
        <v>1001</v>
      </c>
      <c r="P183" t="s">
        <v>1001</v>
      </c>
    </row>
    <row r="184" spans="1:16" x14ac:dyDescent="0.3">
      <c r="A184" t="s">
        <v>761</v>
      </c>
      <c r="B184" s="1">
        <v>40720</v>
      </c>
      <c r="C184" s="1" t="str">
        <f t="shared" si="8"/>
        <v>Sunday</v>
      </c>
      <c r="D184" s="1" t="str">
        <f t="shared" si="9"/>
        <v>June</v>
      </c>
      <c r="E184">
        <f t="shared" si="10"/>
        <v>2011</v>
      </c>
      <c r="F184" t="s">
        <v>423</v>
      </c>
      <c r="G184" t="s">
        <v>286</v>
      </c>
      <c r="H184" t="s">
        <v>47</v>
      </c>
      <c r="J184" t="s">
        <v>38</v>
      </c>
      <c r="K184" t="s">
        <v>21</v>
      </c>
      <c r="L184" t="s">
        <v>38</v>
      </c>
      <c r="M184" t="str">
        <f t="shared" si="11"/>
        <v>Win</v>
      </c>
      <c r="N184" t="s">
        <v>1010</v>
      </c>
      <c r="O184" t="s">
        <v>1001</v>
      </c>
      <c r="P184" t="s">
        <v>1001</v>
      </c>
    </row>
    <row r="185" spans="1:16" x14ac:dyDescent="0.3">
      <c r="A185" t="s">
        <v>762</v>
      </c>
      <c r="B185" s="1">
        <v>40763</v>
      </c>
      <c r="C185" s="1" t="str">
        <f t="shared" si="8"/>
        <v>Monday</v>
      </c>
      <c r="D185" s="1" t="str">
        <f t="shared" si="9"/>
        <v>August</v>
      </c>
      <c r="E185">
        <f t="shared" si="10"/>
        <v>2011</v>
      </c>
      <c r="F185" t="s">
        <v>424</v>
      </c>
      <c r="G185" t="s">
        <v>425</v>
      </c>
      <c r="H185" t="s">
        <v>222</v>
      </c>
      <c r="I185" t="s">
        <v>426</v>
      </c>
      <c r="J185" t="s">
        <v>38</v>
      </c>
      <c r="K185" t="s">
        <v>227</v>
      </c>
      <c r="L185" t="s">
        <v>38</v>
      </c>
      <c r="M185" t="str">
        <f t="shared" si="11"/>
        <v>Win</v>
      </c>
      <c r="N185" t="s">
        <v>1002</v>
      </c>
      <c r="O185" t="s">
        <v>1001</v>
      </c>
      <c r="P185" t="s">
        <v>1001</v>
      </c>
    </row>
    <row r="186" spans="1:16" x14ac:dyDescent="0.3">
      <c r="A186" t="s">
        <v>763</v>
      </c>
      <c r="B186" s="1">
        <v>40765</v>
      </c>
      <c r="C186" s="1" t="str">
        <f t="shared" si="8"/>
        <v>Wednesday</v>
      </c>
      <c r="D186" s="1" t="str">
        <f t="shared" si="9"/>
        <v>August</v>
      </c>
      <c r="E186">
        <f t="shared" si="10"/>
        <v>2011</v>
      </c>
      <c r="F186" t="s">
        <v>424</v>
      </c>
      <c r="G186" t="s">
        <v>425</v>
      </c>
      <c r="H186" t="s">
        <v>17</v>
      </c>
      <c r="I186" t="s">
        <v>426</v>
      </c>
      <c r="J186" t="s">
        <v>38</v>
      </c>
      <c r="K186" t="s">
        <v>66</v>
      </c>
      <c r="L186" t="s">
        <v>38</v>
      </c>
      <c r="M186" t="str">
        <f t="shared" si="11"/>
        <v>Win</v>
      </c>
      <c r="N186" t="s">
        <v>1005</v>
      </c>
      <c r="O186" t="s">
        <v>1001</v>
      </c>
      <c r="P186" t="s">
        <v>1001</v>
      </c>
    </row>
    <row r="187" spans="1:16" x14ac:dyDescent="0.3">
      <c r="A187" t="s">
        <v>764</v>
      </c>
      <c r="B187" s="1">
        <v>40766</v>
      </c>
      <c r="C187" s="1" t="str">
        <f t="shared" si="8"/>
        <v>Thursday</v>
      </c>
      <c r="D187" s="1" t="str">
        <f t="shared" si="9"/>
        <v>August</v>
      </c>
      <c r="E187">
        <f t="shared" si="10"/>
        <v>2011</v>
      </c>
      <c r="F187" t="s">
        <v>424</v>
      </c>
      <c r="G187" t="s">
        <v>425</v>
      </c>
      <c r="H187" t="s">
        <v>40</v>
      </c>
      <c r="I187" t="s">
        <v>426</v>
      </c>
      <c r="J187" t="s">
        <v>38</v>
      </c>
      <c r="K187" t="s">
        <v>20</v>
      </c>
      <c r="L187" t="s">
        <v>38</v>
      </c>
      <c r="M187" t="str">
        <f t="shared" si="11"/>
        <v>Win</v>
      </c>
      <c r="N187" t="s">
        <v>1005</v>
      </c>
      <c r="O187" t="s">
        <v>1001</v>
      </c>
      <c r="P187" t="s">
        <v>1001</v>
      </c>
    </row>
    <row r="188" spans="1:16" x14ac:dyDescent="0.3">
      <c r="A188" t="s">
        <v>765</v>
      </c>
      <c r="B188" s="1">
        <v>40767</v>
      </c>
      <c r="C188" s="1" t="str">
        <f t="shared" si="8"/>
        <v>Friday</v>
      </c>
      <c r="D188" s="1" t="str">
        <f t="shared" si="9"/>
        <v>August</v>
      </c>
      <c r="E188">
        <f t="shared" si="10"/>
        <v>2011</v>
      </c>
      <c r="F188" t="s">
        <v>424</v>
      </c>
      <c r="G188" t="s">
        <v>425</v>
      </c>
      <c r="H188" t="s">
        <v>42</v>
      </c>
      <c r="I188" t="s">
        <v>426</v>
      </c>
      <c r="J188" t="s">
        <v>38</v>
      </c>
      <c r="K188" t="s">
        <v>234</v>
      </c>
      <c r="L188" t="s">
        <v>38</v>
      </c>
      <c r="M188" t="str">
        <f t="shared" si="11"/>
        <v>Win</v>
      </c>
      <c r="N188" t="s">
        <v>1006</v>
      </c>
      <c r="O188" t="s">
        <v>1001</v>
      </c>
      <c r="P188" t="s">
        <v>1001</v>
      </c>
    </row>
    <row r="189" spans="1:16" x14ac:dyDescent="0.3">
      <c r="A189" t="s">
        <v>766</v>
      </c>
      <c r="B189" s="1">
        <v>40768</v>
      </c>
      <c r="C189" s="1" t="str">
        <f t="shared" si="8"/>
        <v>Saturday</v>
      </c>
      <c r="D189" s="1" t="str">
        <f t="shared" si="9"/>
        <v>August</v>
      </c>
      <c r="E189">
        <f t="shared" si="10"/>
        <v>2011</v>
      </c>
      <c r="F189" t="s">
        <v>424</v>
      </c>
      <c r="G189" t="s">
        <v>425</v>
      </c>
      <c r="H189" t="s">
        <v>46</v>
      </c>
      <c r="I189" t="s">
        <v>426</v>
      </c>
      <c r="J189" t="s">
        <v>38</v>
      </c>
      <c r="K189" t="s">
        <v>28</v>
      </c>
      <c r="L189" t="s">
        <v>38</v>
      </c>
      <c r="M189" t="str">
        <f t="shared" si="11"/>
        <v>Win</v>
      </c>
      <c r="N189" t="s">
        <v>203</v>
      </c>
      <c r="O189" t="s">
        <v>1001</v>
      </c>
      <c r="P189" t="s">
        <v>1001</v>
      </c>
    </row>
    <row r="190" spans="1:16" x14ac:dyDescent="0.3">
      <c r="A190" t="s">
        <v>767</v>
      </c>
      <c r="B190" s="1">
        <v>40769</v>
      </c>
      <c r="C190" s="1" t="str">
        <f t="shared" si="8"/>
        <v>Sunday</v>
      </c>
      <c r="D190" s="1" t="str">
        <f t="shared" si="9"/>
        <v>August</v>
      </c>
      <c r="E190">
        <f t="shared" si="10"/>
        <v>2011</v>
      </c>
      <c r="F190" t="s">
        <v>424</v>
      </c>
      <c r="G190" t="s">
        <v>425</v>
      </c>
      <c r="H190" t="s">
        <v>47</v>
      </c>
      <c r="I190" t="s">
        <v>426</v>
      </c>
      <c r="J190" t="s">
        <v>38</v>
      </c>
      <c r="K190" t="s">
        <v>29</v>
      </c>
      <c r="L190" t="s">
        <v>29</v>
      </c>
      <c r="M190" t="str">
        <f t="shared" si="11"/>
        <v>Loss</v>
      </c>
      <c r="N190" t="s">
        <v>522</v>
      </c>
      <c r="O190" t="s">
        <v>552</v>
      </c>
      <c r="P190" t="s">
        <v>520</v>
      </c>
    </row>
    <row r="191" spans="1:16" x14ac:dyDescent="0.3">
      <c r="A191" t="s">
        <v>768</v>
      </c>
      <c r="B191" s="1">
        <v>40807</v>
      </c>
      <c r="C191" s="1" t="str">
        <f t="shared" si="8"/>
        <v>Wednesday</v>
      </c>
      <c r="D191" s="1" t="str">
        <f t="shared" si="9"/>
        <v>September</v>
      </c>
      <c r="E191">
        <f t="shared" si="10"/>
        <v>2011</v>
      </c>
      <c r="F191" t="s">
        <v>430</v>
      </c>
      <c r="G191" t="s">
        <v>1</v>
      </c>
      <c r="H191" t="s">
        <v>17</v>
      </c>
      <c r="I191" t="s">
        <v>348</v>
      </c>
      <c r="J191" t="s">
        <v>38</v>
      </c>
      <c r="K191" t="s">
        <v>62</v>
      </c>
      <c r="L191" t="s">
        <v>38</v>
      </c>
      <c r="M191" t="str">
        <f t="shared" si="11"/>
        <v>Win</v>
      </c>
      <c r="N191" t="s">
        <v>203</v>
      </c>
      <c r="O191" t="s">
        <v>1001</v>
      </c>
      <c r="P191" t="s">
        <v>1001</v>
      </c>
    </row>
    <row r="192" spans="1:16" x14ac:dyDescent="0.3">
      <c r="A192" t="s">
        <v>769</v>
      </c>
      <c r="B192" s="1">
        <v>40808</v>
      </c>
      <c r="C192" s="1" t="str">
        <f t="shared" si="8"/>
        <v>Thursday</v>
      </c>
      <c r="D192" s="1" t="str">
        <f t="shared" si="9"/>
        <v>September</v>
      </c>
      <c r="E192">
        <f t="shared" si="10"/>
        <v>2011</v>
      </c>
      <c r="F192" t="s">
        <v>430</v>
      </c>
      <c r="G192" t="s">
        <v>1</v>
      </c>
      <c r="H192" t="s">
        <v>40</v>
      </c>
      <c r="I192" t="s">
        <v>348</v>
      </c>
      <c r="J192" t="s">
        <v>38</v>
      </c>
      <c r="K192" t="s">
        <v>338</v>
      </c>
      <c r="L192" t="s">
        <v>38</v>
      </c>
      <c r="M192" t="str">
        <f t="shared" si="11"/>
        <v>Win</v>
      </c>
      <c r="N192" t="s">
        <v>179</v>
      </c>
      <c r="O192" t="s">
        <v>1001</v>
      </c>
      <c r="P192" t="s">
        <v>1001</v>
      </c>
    </row>
    <row r="193" spans="1:16" x14ac:dyDescent="0.3">
      <c r="A193" t="s">
        <v>770</v>
      </c>
      <c r="B193" s="1">
        <v>40809</v>
      </c>
      <c r="C193" s="1" t="str">
        <f t="shared" si="8"/>
        <v>Friday</v>
      </c>
      <c r="D193" s="1" t="str">
        <f t="shared" si="9"/>
        <v>September</v>
      </c>
      <c r="E193">
        <f t="shared" si="10"/>
        <v>2011</v>
      </c>
      <c r="F193" t="s">
        <v>430</v>
      </c>
      <c r="G193" t="s">
        <v>1</v>
      </c>
      <c r="H193" t="s">
        <v>42</v>
      </c>
      <c r="I193" t="s">
        <v>348</v>
      </c>
      <c r="J193" t="s">
        <v>38</v>
      </c>
      <c r="K193" t="s">
        <v>135</v>
      </c>
      <c r="L193" t="s">
        <v>38</v>
      </c>
      <c r="M193" t="str">
        <f t="shared" si="11"/>
        <v>Win</v>
      </c>
      <c r="N193" t="s">
        <v>520</v>
      </c>
      <c r="O193" t="s">
        <v>1006</v>
      </c>
      <c r="P193" t="s">
        <v>385</v>
      </c>
    </row>
    <row r="194" spans="1:16" x14ac:dyDescent="0.3">
      <c r="A194" t="s">
        <v>771</v>
      </c>
      <c r="B194" s="1">
        <v>40810</v>
      </c>
      <c r="C194" s="1" t="str">
        <f t="shared" si="8"/>
        <v>Saturday</v>
      </c>
      <c r="D194" s="1" t="str">
        <f t="shared" si="9"/>
        <v>September</v>
      </c>
      <c r="E194">
        <f t="shared" si="10"/>
        <v>2011</v>
      </c>
      <c r="F194" t="s">
        <v>430</v>
      </c>
      <c r="G194" t="s">
        <v>1</v>
      </c>
      <c r="H194" t="s">
        <v>46</v>
      </c>
      <c r="I194" t="s">
        <v>348</v>
      </c>
      <c r="J194" t="s">
        <v>38</v>
      </c>
      <c r="K194" t="s">
        <v>21</v>
      </c>
      <c r="L194" t="s">
        <v>38</v>
      </c>
      <c r="M194" t="str">
        <f t="shared" si="11"/>
        <v>Win</v>
      </c>
      <c r="N194" t="s">
        <v>203</v>
      </c>
      <c r="O194" t="s">
        <v>1001</v>
      </c>
      <c r="P194" t="s">
        <v>1001</v>
      </c>
    </row>
    <row r="195" spans="1:16" x14ac:dyDescent="0.3">
      <c r="A195" t="s">
        <v>772</v>
      </c>
      <c r="B195" s="1">
        <v>40811</v>
      </c>
      <c r="C195" s="1" t="str">
        <f t="shared" ref="C195:C258" si="12">TEXT(B195,"dddd")</f>
        <v>Sunday</v>
      </c>
      <c r="D195" s="1" t="str">
        <f t="shared" ref="D195:D258" si="13">TEXT(B195,"mmmm")</f>
        <v>September</v>
      </c>
      <c r="E195">
        <f t="shared" ref="E195:E258" si="14">YEAR(B195)</f>
        <v>2011</v>
      </c>
      <c r="F195" t="s">
        <v>430</v>
      </c>
      <c r="G195" t="s">
        <v>1</v>
      </c>
      <c r="H195" t="s">
        <v>47</v>
      </c>
      <c r="I195" t="s">
        <v>348</v>
      </c>
      <c r="J195" t="s">
        <v>38</v>
      </c>
      <c r="K195" t="s">
        <v>253</v>
      </c>
      <c r="L195" t="s">
        <v>253</v>
      </c>
      <c r="M195" t="str">
        <f t="shared" ref="M195:M258" si="15">IF(L195=J195,"Win","Loss")</f>
        <v>Loss</v>
      </c>
      <c r="N195" t="s">
        <v>1015</v>
      </c>
      <c r="O195" t="s">
        <v>1005</v>
      </c>
      <c r="P195" t="s">
        <v>409</v>
      </c>
    </row>
    <row r="196" spans="1:16" x14ac:dyDescent="0.3">
      <c r="A196" t="s">
        <v>773</v>
      </c>
      <c r="B196" s="1">
        <v>40835</v>
      </c>
      <c r="C196" s="1" t="str">
        <f t="shared" si="12"/>
        <v>Wednesday</v>
      </c>
      <c r="D196" s="1" t="str">
        <f t="shared" si="13"/>
        <v>October</v>
      </c>
      <c r="E196">
        <f t="shared" si="14"/>
        <v>2011</v>
      </c>
      <c r="F196" t="s">
        <v>433</v>
      </c>
      <c r="G196" t="s">
        <v>286</v>
      </c>
      <c r="H196" t="s">
        <v>17</v>
      </c>
      <c r="J196" t="s">
        <v>38</v>
      </c>
      <c r="K196" t="s">
        <v>61</v>
      </c>
      <c r="L196" t="s">
        <v>38</v>
      </c>
      <c r="M196" t="str">
        <f t="shared" si="15"/>
        <v>Win</v>
      </c>
      <c r="N196" t="s">
        <v>1010</v>
      </c>
      <c r="O196" t="s">
        <v>1001</v>
      </c>
      <c r="P196" t="s">
        <v>1001</v>
      </c>
    </row>
    <row r="197" spans="1:16" x14ac:dyDescent="0.3">
      <c r="A197" t="s">
        <v>774</v>
      </c>
      <c r="B197" s="1">
        <v>40836</v>
      </c>
      <c r="C197" s="1" t="str">
        <f t="shared" si="12"/>
        <v>Thursday</v>
      </c>
      <c r="D197" s="1" t="str">
        <f t="shared" si="13"/>
        <v>October</v>
      </c>
      <c r="E197">
        <f t="shared" si="14"/>
        <v>2011</v>
      </c>
      <c r="F197" t="s">
        <v>433</v>
      </c>
      <c r="G197" t="s">
        <v>286</v>
      </c>
      <c r="H197" t="s">
        <v>40</v>
      </c>
      <c r="J197" t="s">
        <v>38</v>
      </c>
      <c r="K197" t="s">
        <v>63</v>
      </c>
      <c r="L197" t="s">
        <v>38</v>
      </c>
      <c r="M197" t="str">
        <f t="shared" si="15"/>
        <v>Win</v>
      </c>
      <c r="N197" t="s">
        <v>485</v>
      </c>
      <c r="O197" t="s">
        <v>1001</v>
      </c>
      <c r="P197" t="s">
        <v>1001</v>
      </c>
    </row>
    <row r="198" spans="1:16" x14ac:dyDescent="0.3">
      <c r="A198" t="s">
        <v>775</v>
      </c>
      <c r="B198" s="1">
        <v>40837</v>
      </c>
      <c r="C198" s="1" t="str">
        <f t="shared" si="12"/>
        <v>Friday</v>
      </c>
      <c r="D198" s="1" t="str">
        <f t="shared" si="13"/>
        <v>October</v>
      </c>
      <c r="E198">
        <f t="shared" si="14"/>
        <v>2011</v>
      </c>
      <c r="F198" t="s">
        <v>433</v>
      </c>
      <c r="G198" t="s">
        <v>286</v>
      </c>
      <c r="H198" t="s">
        <v>42</v>
      </c>
      <c r="J198" t="s">
        <v>38</v>
      </c>
      <c r="K198" t="s">
        <v>28</v>
      </c>
      <c r="L198" t="s">
        <v>38</v>
      </c>
      <c r="M198" t="str">
        <f t="shared" si="15"/>
        <v>Win</v>
      </c>
      <c r="N198" t="s">
        <v>485</v>
      </c>
      <c r="O198" t="s">
        <v>1001</v>
      </c>
      <c r="P198" t="s">
        <v>1001</v>
      </c>
    </row>
    <row r="199" spans="1:16" x14ac:dyDescent="0.3">
      <c r="A199" t="s">
        <v>776</v>
      </c>
      <c r="B199" s="1">
        <v>40838</v>
      </c>
      <c r="C199" s="1" t="str">
        <f t="shared" si="12"/>
        <v>Saturday</v>
      </c>
      <c r="D199" s="1" t="str">
        <f t="shared" si="13"/>
        <v>October</v>
      </c>
      <c r="E199">
        <f t="shared" si="14"/>
        <v>2011</v>
      </c>
      <c r="F199" t="s">
        <v>433</v>
      </c>
      <c r="G199" t="s">
        <v>286</v>
      </c>
      <c r="H199" t="s">
        <v>46</v>
      </c>
      <c r="J199" t="s">
        <v>38</v>
      </c>
      <c r="K199" t="s">
        <v>21</v>
      </c>
      <c r="L199" t="s">
        <v>38</v>
      </c>
      <c r="M199" t="str">
        <f t="shared" si="15"/>
        <v>Win</v>
      </c>
      <c r="N199" t="s">
        <v>179</v>
      </c>
      <c r="O199" t="s">
        <v>1001</v>
      </c>
      <c r="P199" t="s">
        <v>1001</v>
      </c>
    </row>
    <row r="200" spans="1:16" x14ac:dyDescent="0.3">
      <c r="A200" t="s">
        <v>777</v>
      </c>
      <c r="B200" s="1">
        <v>40839</v>
      </c>
      <c r="C200" s="1" t="str">
        <f t="shared" si="12"/>
        <v>Sunday</v>
      </c>
      <c r="D200" s="1" t="str">
        <f t="shared" si="13"/>
        <v>October</v>
      </c>
      <c r="E200">
        <f t="shared" si="14"/>
        <v>2011</v>
      </c>
      <c r="F200" t="s">
        <v>433</v>
      </c>
      <c r="G200" t="s">
        <v>286</v>
      </c>
      <c r="H200" t="s">
        <v>47</v>
      </c>
      <c r="J200" t="s">
        <v>38</v>
      </c>
      <c r="K200" t="s">
        <v>253</v>
      </c>
      <c r="L200" t="s">
        <v>253</v>
      </c>
      <c r="M200" t="str">
        <f t="shared" si="15"/>
        <v>Loss</v>
      </c>
      <c r="N200" t="s">
        <v>566</v>
      </c>
      <c r="O200" t="s">
        <v>1001</v>
      </c>
      <c r="P200" t="s">
        <v>1001</v>
      </c>
    </row>
    <row r="201" spans="1:16" x14ac:dyDescent="0.3">
      <c r="A201" t="s">
        <v>778</v>
      </c>
      <c r="B201" s="1">
        <v>40842</v>
      </c>
      <c r="C201" s="1" t="str">
        <f t="shared" si="12"/>
        <v>Wednesday</v>
      </c>
      <c r="D201" s="1" t="str">
        <f t="shared" si="13"/>
        <v>October</v>
      </c>
      <c r="E201">
        <f t="shared" si="14"/>
        <v>2011</v>
      </c>
      <c r="F201" t="s">
        <v>435</v>
      </c>
      <c r="G201" t="s">
        <v>1</v>
      </c>
      <c r="H201" t="s">
        <v>17</v>
      </c>
      <c r="I201" t="s">
        <v>354</v>
      </c>
      <c r="J201" t="s">
        <v>38</v>
      </c>
      <c r="K201" t="s">
        <v>158</v>
      </c>
      <c r="L201" t="s">
        <v>38</v>
      </c>
      <c r="M201" t="str">
        <f t="shared" si="15"/>
        <v>Win</v>
      </c>
      <c r="N201" t="s">
        <v>550</v>
      </c>
      <c r="O201" t="s">
        <v>1001</v>
      </c>
      <c r="P201" t="s">
        <v>1001</v>
      </c>
    </row>
    <row r="202" spans="1:16" x14ac:dyDescent="0.3">
      <c r="A202" t="s">
        <v>779</v>
      </c>
      <c r="B202" s="1">
        <v>40843</v>
      </c>
      <c r="C202" s="1" t="str">
        <f t="shared" si="12"/>
        <v>Thursday</v>
      </c>
      <c r="D202" s="1" t="str">
        <f t="shared" si="13"/>
        <v>October</v>
      </c>
      <c r="E202">
        <f t="shared" si="14"/>
        <v>2011</v>
      </c>
      <c r="F202" t="s">
        <v>435</v>
      </c>
      <c r="G202" t="s">
        <v>1</v>
      </c>
      <c r="H202" t="s">
        <v>40</v>
      </c>
      <c r="I202" t="s">
        <v>354</v>
      </c>
      <c r="J202" t="s">
        <v>38</v>
      </c>
      <c r="K202" t="s">
        <v>155</v>
      </c>
      <c r="L202" t="s">
        <v>38</v>
      </c>
      <c r="M202" t="str">
        <f t="shared" si="15"/>
        <v>Win</v>
      </c>
      <c r="N202" t="s">
        <v>1010</v>
      </c>
      <c r="O202" t="s">
        <v>1001</v>
      </c>
      <c r="P202" t="s">
        <v>1001</v>
      </c>
    </row>
    <row r="203" spans="1:16" x14ac:dyDescent="0.3">
      <c r="A203" t="s">
        <v>780</v>
      </c>
      <c r="B203" s="1">
        <v>40844</v>
      </c>
      <c r="C203" s="1" t="str">
        <f t="shared" si="12"/>
        <v>Friday</v>
      </c>
      <c r="D203" s="1" t="str">
        <f t="shared" si="13"/>
        <v>October</v>
      </c>
      <c r="E203">
        <f t="shared" si="14"/>
        <v>2011</v>
      </c>
      <c r="F203" t="s">
        <v>435</v>
      </c>
      <c r="G203" t="s">
        <v>1</v>
      </c>
      <c r="H203" t="s">
        <v>42</v>
      </c>
      <c r="I203" t="s">
        <v>354</v>
      </c>
      <c r="J203" t="s">
        <v>38</v>
      </c>
      <c r="K203" t="s">
        <v>51</v>
      </c>
      <c r="L203" t="s">
        <v>38</v>
      </c>
      <c r="M203" t="str">
        <f t="shared" si="15"/>
        <v>Win</v>
      </c>
      <c r="N203" t="s">
        <v>1010</v>
      </c>
      <c r="O203" t="s">
        <v>1001</v>
      </c>
      <c r="P203" t="s">
        <v>1001</v>
      </c>
    </row>
    <row r="204" spans="1:16" x14ac:dyDescent="0.3">
      <c r="A204" t="s">
        <v>781</v>
      </c>
      <c r="B204" s="1">
        <v>40845</v>
      </c>
      <c r="C204" s="1" t="str">
        <f t="shared" si="12"/>
        <v>Saturday</v>
      </c>
      <c r="D204" s="1" t="str">
        <f t="shared" si="13"/>
        <v>October</v>
      </c>
      <c r="E204">
        <f t="shared" si="14"/>
        <v>2011</v>
      </c>
      <c r="F204" t="s">
        <v>435</v>
      </c>
      <c r="G204" t="s">
        <v>1</v>
      </c>
      <c r="H204" t="s">
        <v>46</v>
      </c>
      <c r="I204" t="s">
        <v>354</v>
      </c>
      <c r="J204" t="s">
        <v>38</v>
      </c>
      <c r="K204" t="s">
        <v>253</v>
      </c>
      <c r="L204" t="s">
        <v>38</v>
      </c>
      <c r="M204" t="str">
        <f t="shared" si="15"/>
        <v>Win</v>
      </c>
      <c r="N204" t="s">
        <v>1003</v>
      </c>
      <c r="O204" t="s">
        <v>406</v>
      </c>
      <c r="P204" t="s">
        <v>1002</v>
      </c>
    </row>
    <row r="205" spans="1:16" x14ac:dyDescent="0.3">
      <c r="A205" t="s">
        <v>782</v>
      </c>
      <c r="B205" s="1">
        <v>40846</v>
      </c>
      <c r="C205" s="1" t="str">
        <f t="shared" si="12"/>
        <v>Sunday</v>
      </c>
      <c r="D205" s="1" t="str">
        <f t="shared" si="13"/>
        <v>October</v>
      </c>
      <c r="E205">
        <f t="shared" si="14"/>
        <v>2011</v>
      </c>
      <c r="F205" t="s">
        <v>435</v>
      </c>
      <c r="G205" t="s">
        <v>1</v>
      </c>
      <c r="H205" t="s">
        <v>47</v>
      </c>
      <c r="I205" t="s">
        <v>354</v>
      </c>
      <c r="J205" t="s">
        <v>38</v>
      </c>
      <c r="K205" t="s">
        <v>135</v>
      </c>
      <c r="L205" t="s">
        <v>38</v>
      </c>
      <c r="M205" t="str">
        <f t="shared" si="15"/>
        <v>Win</v>
      </c>
      <c r="N205" t="s">
        <v>550</v>
      </c>
      <c r="O205" t="s">
        <v>1001</v>
      </c>
      <c r="P205" t="s">
        <v>1001</v>
      </c>
    </row>
    <row r="206" spans="1:16" x14ac:dyDescent="0.3">
      <c r="A206" t="s">
        <v>783</v>
      </c>
      <c r="B206" s="1">
        <v>40863</v>
      </c>
      <c r="C206" s="1" t="str">
        <f t="shared" si="12"/>
        <v>Wednesday</v>
      </c>
      <c r="D206" s="1" t="str">
        <f t="shared" si="13"/>
        <v>November</v>
      </c>
      <c r="E206">
        <f t="shared" si="14"/>
        <v>2011</v>
      </c>
      <c r="F206" t="s">
        <v>438</v>
      </c>
      <c r="G206" t="s">
        <v>1</v>
      </c>
      <c r="H206" t="s">
        <v>17</v>
      </c>
      <c r="I206" t="s">
        <v>439</v>
      </c>
      <c r="J206" t="s">
        <v>38</v>
      </c>
      <c r="K206" t="s">
        <v>195</v>
      </c>
      <c r="L206" t="s">
        <v>38</v>
      </c>
      <c r="M206" t="str">
        <f t="shared" si="15"/>
        <v>Win</v>
      </c>
      <c r="N206" t="s">
        <v>203</v>
      </c>
      <c r="O206" t="s">
        <v>1001</v>
      </c>
      <c r="P206" t="s">
        <v>1001</v>
      </c>
    </row>
    <row r="207" spans="1:16" x14ac:dyDescent="0.3">
      <c r="A207" t="s">
        <v>784</v>
      </c>
      <c r="B207" s="1">
        <v>40864</v>
      </c>
      <c r="C207" s="1" t="str">
        <f t="shared" si="12"/>
        <v>Thursday</v>
      </c>
      <c r="D207" s="1" t="str">
        <f t="shared" si="13"/>
        <v>November</v>
      </c>
      <c r="E207">
        <f t="shared" si="14"/>
        <v>2011</v>
      </c>
      <c r="F207" t="s">
        <v>438</v>
      </c>
      <c r="G207" t="s">
        <v>1</v>
      </c>
      <c r="H207" t="s">
        <v>40</v>
      </c>
      <c r="I207" t="s">
        <v>439</v>
      </c>
      <c r="J207" t="s">
        <v>38</v>
      </c>
      <c r="K207" t="s">
        <v>398</v>
      </c>
      <c r="L207" t="s">
        <v>38</v>
      </c>
      <c r="M207" t="str">
        <f t="shared" si="15"/>
        <v>Win</v>
      </c>
      <c r="N207" t="s">
        <v>1002</v>
      </c>
      <c r="O207" t="s">
        <v>1001</v>
      </c>
      <c r="P207" t="s">
        <v>1001</v>
      </c>
    </row>
    <row r="208" spans="1:16" x14ac:dyDescent="0.3">
      <c r="A208" t="s">
        <v>785</v>
      </c>
      <c r="B208" s="1">
        <v>40865</v>
      </c>
      <c r="C208" s="1" t="str">
        <f t="shared" si="12"/>
        <v>Friday</v>
      </c>
      <c r="D208" s="1" t="str">
        <f t="shared" si="13"/>
        <v>November</v>
      </c>
      <c r="E208">
        <f t="shared" si="14"/>
        <v>2011</v>
      </c>
      <c r="F208" t="s">
        <v>438</v>
      </c>
      <c r="G208" t="s">
        <v>1</v>
      </c>
      <c r="H208" t="s">
        <v>42</v>
      </c>
      <c r="I208" t="s">
        <v>439</v>
      </c>
      <c r="J208" t="s">
        <v>38</v>
      </c>
      <c r="K208" t="s">
        <v>79</v>
      </c>
      <c r="L208" t="s">
        <v>38</v>
      </c>
      <c r="M208" t="str">
        <f t="shared" si="15"/>
        <v>Win</v>
      </c>
      <c r="N208" t="s">
        <v>550</v>
      </c>
      <c r="O208" t="s">
        <v>1001</v>
      </c>
      <c r="P208" t="s">
        <v>1001</v>
      </c>
    </row>
    <row r="209" spans="1:16" x14ac:dyDescent="0.3">
      <c r="A209" t="s">
        <v>786</v>
      </c>
      <c r="B209" s="1">
        <v>40866</v>
      </c>
      <c r="C209" s="1" t="str">
        <f t="shared" si="12"/>
        <v>Saturday</v>
      </c>
      <c r="D209" s="1" t="str">
        <f t="shared" si="13"/>
        <v>November</v>
      </c>
      <c r="E209">
        <f t="shared" si="14"/>
        <v>2011</v>
      </c>
      <c r="F209" t="s">
        <v>438</v>
      </c>
      <c r="G209" t="s">
        <v>1</v>
      </c>
      <c r="H209" t="s">
        <v>46</v>
      </c>
      <c r="I209" t="s">
        <v>439</v>
      </c>
      <c r="J209" t="s">
        <v>38</v>
      </c>
      <c r="K209" t="s">
        <v>29</v>
      </c>
      <c r="L209" t="s">
        <v>29</v>
      </c>
      <c r="M209" t="str">
        <f t="shared" si="15"/>
        <v>Loss</v>
      </c>
      <c r="N209" t="s">
        <v>505</v>
      </c>
      <c r="O209" t="s">
        <v>1001</v>
      </c>
      <c r="P209" t="s">
        <v>1001</v>
      </c>
    </row>
    <row r="210" spans="1:16" x14ac:dyDescent="0.3">
      <c r="A210" t="s">
        <v>787</v>
      </c>
      <c r="B210" s="1">
        <v>40870</v>
      </c>
      <c r="C210" s="1" t="str">
        <f t="shared" si="12"/>
        <v>Wednesday</v>
      </c>
      <c r="D210" s="1" t="str">
        <f t="shared" si="13"/>
        <v>November</v>
      </c>
      <c r="E210">
        <f t="shared" si="14"/>
        <v>2011</v>
      </c>
      <c r="F210" t="s">
        <v>440</v>
      </c>
      <c r="G210" t="s">
        <v>286</v>
      </c>
      <c r="H210" t="s">
        <v>17</v>
      </c>
      <c r="I210" t="s">
        <v>118</v>
      </c>
      <c r="J210" t="s">
        <v>38</v>
      </c>
      <c r="K210" t="s">
        <v>34</v>
      </c>
      <c r="L210" t="s">
        <v>38</v>
      </c>
      <c r="M210" t="str">
        <f t="shared" si="15"/>
        <v>Win</v>
      </c>
      <c r="N210" t="s">
        <v>1010</v>
      </c>
      <c r="O210" t="s">
        <v>1001</v>
      </c>
      <c r="P210" t="s">
        <v>1001</v>
      </c>
    </row>
    <row r="211" spans="1:16" x14ac:dyDescent="0.3">
      <c r="A211" t="s">
        <v>788</v>
      </c>
      <c r="B211" s="1">
        <v>40871</v>
      </c>
      <c r="C211" s="1" t="str">
        <f t="shared" si="12"/>
        <v>Thursday</v>
      </c>
      <c r="D211" s="1" t="str">
        <f t="shared" si="13"/>
        <v>November</v>
      </c>
      <c r="E211">
        <f t="shared" si="14"/>
        <v>2011</v>
      </c>
      <c r="F211" t="s">
        <v>440</v>
      </c>
      <c r="G211" t="s">
        <v>286</v>
      </c>
      <c r="H211" t="s">
        <v>40</v>
      </c>
      <c r="I211" t="s">
        <v>118</v>
      </c>
      <c r="J211" t="s">
        <v>38</v>
      </c>
      <c r="K211" t="s">
        <v>135</v>
      </c>
      <c r="L211" t="s">
        <v>38</v>
      </c>
      <c r="M211" t="str">
        <f t="shared" si="15"/>
        <v>Win</v>
      </c>
      <c r="N211" t="s">
        <v>1011</v>
      </c>
      <c r="O211" t="s">
        <v>1001</v>
      </c>
      <c r="P211" t="s">
        <v>1001</v>
      </c>
    </row>
    <row r="212" spans="1:16" x14ac:dyDescent="0.3">
      <c r="A212" t="s">
        <v>789</v>
      </c>
      <c r="B212" s="1">
        <v>40872</v>
      </c>
      <c r="C212" s="1" t="str">
        <f t="shared" si="12"/>
        <v>Friday</v>
      </c>
      <c r="D212" s="1" t="str">
        <f t="shared" si="13"/>
        <v>November</v>
      </c>
      <c r="E212">
        <f t="shared" si="14"/>
        <v>2011</v>
      </c>
      <c r="F212" t="s">
        <v>440</v>
      </c>
      <c r="G212" t="s">
        <v>286</v>
      </c>
      <c r="H212" t="s">
        <v>42</v>
      </c>
      <c r="I212" t="s">
        <v>118</v>
      </c>
      <c r="J212" t="s">
        <v>38</v>
      </c>
      <c r="K212" t="s">
        <v>137</v>
      </c>
      <c r="L212" t="s">
        <v>38</v>
      </c>
      <c r="M212" t="str">
        <f t="shared" si="15"/>
        <v>Win</v>
      </c>
      <c r="N212" t="s">
        <v>385</v>
      </c>
      <c r="O212" t="s">
        <v>1001</v>
      </c>
      <c r="P212" t="s">
        <v>1001</v>
      </c>
    </row>
    <row r="213" spans="1:16" x14ac:dyDescent="0.3">
      <c r="A213" t="s">
        <v>790</v>
      </c>
      <c r="B213" s="1">
        <v>40873</v>
      </c>
      <c r="C213" s="1" t="str">
        <f t="shared" si="12"/>
        <v>Saturday</v>
      </c>
      <c r="D213" s="1" t="str">
        <f t="shared" si="13"/>
        <v>November</v>
      </c>
      <c r="E213">
        <f t="shared" si="14"/>
        <v>2011</v>
      </c>
      <c r="F213" t="s">
        <v>440</v>
      </c>
      <c r="G213" t="s">
        <v>286</v>
      </c>
      <c r="H213" t="s">
        <v>46</v>
      </c>
      <c r="I213" t="s">
        <v>118</v>
      </c>
      <c r="J213" t="s">
        <v>38</v>
      </c>
      <c r="K213" t="s">
        <v>29</v>
      </c>
      <c r="L213" t="s">
        <v>29</v>
      </c>
      <c r="M213" t="str">
        <f t="shared" si="15"/>
        <v>Loss</v>
      </c>
      <c r="N213" t="s">
        <v>179</v>
      </c>
      <c r="O213" t="s">
        <v>1014</v>
      </c>
      <c r="P213" t="s">
        <v>1009</v>
      </c>
    </row>
    <row r="214" spans="1:16" x14ac:dyDescent="0.3">
      <c r="A214" t="s">
        <v>791</v>
      </c>
      <c r="B214" s="1">
        <v>40891</v>
      </c>
      <c r="C214" s="1" t="str">
        <f t="shared" si="12"/>
        <v>Wednesday</v>
      </c>
      <c r="D214" s="1" t="str">
        <f t="shared" si="13"/>
        <v>December</v>
      </c>
      <c r="E214">
        <f t="shared" si="14"/>
        <v>2011</v>
      </c>
      <c r="F214" t="s">
        <v>442</v>
      </c>
      <c r="G214" t="s">
        <v>286</v>
      </c>
      <c r="H214" t="s">
        <v>287</v>
      </c>
      <c r="I214" t="s">
        <v>118</v>
      </c>
      <c r="J214" t="s">
        <v>38</v>
      </c>
      <c r="K214" t="s">
        <v>137</v>
      </c>
      <c r="L214" t="s">
        <v>38</v>
      </c>
      <c r="M214" t="str">
        <f t="shared" si="15"/>
        <v>Win</v>
      </c>
      <c r="N214" t="s">
        <v>1010</v>
      </c>
      <c r="O214" t="s">
        <v>999</v>
      </c>
      <c r="P214" t="s">
        <v>998</v>
      </c>
    </row>
    <row r="215" spans="1:16" x14ac:dyDescent="0.3">
      <c r="A215" t="s">
        <v>792</v>
      </c>
      <c r="B215" s="1">
        <v>40892</v>
      </c>
      <c r="C215" s="1" t="str">
        <f t="shared" si="12"/>
        <v>Thursday</v>
      </c>
      <c r="D215" s="1" t="str">
        <f t="shared" si="13"/>
        <v>December</v>
      </c>
      <c r="E215">
        <f t="shared" si="14"/>
        <v>2011</v>
      </c>
      <c r="F215" t="s">
        <v>442</v>
      </c>
      <c r="G215" t="s">
        <v>286</v>
      </c>
      <c r="H215" t="s">
        <v>289</v>
      </c>
      <c r="I215" t="s">
        <v>118</v>
      </c>
      <c r="J215" t="s">
        <v>38</v>
      </c>
      <c r="K215" t="s">
        <v>68</v>
      </c>
      <c r="L215" t="s">
        <v>38</v>
      </c>
      <c r="M215" t="str">
        <f t="shared" si="15"/>
        <v>Win</v>
      </c>
      <c r="N215" t="s">
        <v>1005</v>
      </c>
      <c r="O215" t="s">
        <v>1001</v>
      </c>
      <c r="P215" t="s">
        <v>1001</v>
      </c>
    </row>
    <row r="216" spans="1:16" x14ac:dyDescent="0.3">
      <c r="A216" t="s">
        <v>793</v>
      </c>
      <c r="B216" s="1">
        <v>40893</v>
      </c>
      <c r="C216" s="1" t="str">
        <f t="shared" si="12"/>
        <v>Friday</v>
      </c>
      <c r="D216" s="1" t="str">
        <f t="shared" si="13"/>
        <v>December</v>
      </c>
      <c r="E216">
        <f t="shared" si="14"/>
        <v>2011</v>
      </c>
      <c r="F216" t="s">
        <v>442</v>
      </c>
      <c r="G216" t="s">
        <v>286</v>
      </c>
      <c r="H216" t="s">
        <v>288</v>
      </c>
      <c r="I216" t="s">
        <v>118</v>
      </c>
      <c r="J216" t="s">
        <v>38</v>
      </c>
      <c r="K216" t="s">
        <v>21</v>
      </c>
      <c r="L216" t="s">
        <v>38</v>
      </c>
      <c r="M216" t="str">
        <f t="shared" si="15"/>
        <v>Win</v>
      </c>
      <c r="N216" t="s">
        <v>1020</v>
      </c>
      <c r="O216" t="s">
        <v>1001</v>
      </c>
      <c r="P216" t="s">
        <v>1001</v>
      </c>
    </row>
    <row r="217" spans="1:16" x14ac:dyDescent="0.3">
      <c r="A217" t="s">
        <v>794</v>
      </c>
      <c r="B217" s="1">
        <v>40894</v>
      </c>
      <c r="C217" s="1" t="str">
        <f t="shared" si="12"/>
        <v>Saturday</v>
      </c>
      <c r="D217" s="1" t="str">
        <f t="shared" si="13"/>
        <v>December</v>
      </c>
      <c r="E217">
        <f t="shared" si="14"/>
        <v>2011</v>
      </c>
      <c r="F217" t="s">
        <v>442</v>
      </c>
      <c r="G217" t="s">
        <v>286</v>
      </c>
      <c r="H217" t="s">
        <v>46</v>
      </c>
      <c r="I217" t="s">
        <v>118</v>
      </c>
      <c r="J217" t="s">
        <v>38</v>
      </c>
      <c r="K217" t="s">
        <v>253</v>
      </c>
      <c r="L217" t="s">
        <v>253</v>
      </c>
      <c r="M217" t="str">
        <f t="shared" si="15"/>
        <v>Loss</v>
      </c>
      <c r="N217" t="s">
        <v>505</v>
      </c>
      <c r="O217" t="s">
        <v>550</v>
      </c>
      <c r="P217" t="s">
        <v>999</v>
      </c>
    </row>
    <row r="218" spans="1:16" x14ac:dyDescent="0.3">
      <c r="A218" t="s">
        <v>795</v>
      </c>
      <c r="B218" s="1">
        <v>40912</v>
      </c>
      <c r="C218" s="1" t="str">
        <f t="shared" si="12"/>
        <v>Wednesday</v>
      </c>
      <c r="D218" s="1" t="str">
        <f t="shared" si="13"/>
        <v>January</v>
      </c>
      <c r="E218">
        <f t="shared" si="14"/>
        <v>2012</v>
      </c>
      <c r="F218" t="s">
        <v>445</v>
      </c>
      <c r="G218" t="s">
        <v>286</v>
      </c>
      <c r="H218" t="s">
        <v>17</v>
      </c>
      <c r="I218" t="s">
        <v>446</v>
      </c>
      <c r="J218" t="s">
        <v>38</v>
      </c>
      <c r="K218" t="s">
        <v>223</v>
      </c>
      <c r="L218" t="s">
        <v>38</v>
      </c>
      <c r="M218" t="str">
        <f t="shared" si="15"/>
        <v>Win</v>
      </c>
      <c r="N218" t="s">
        <v>1010</v>
      </c>
      <c r="O218" t="s">
        <v>1001</v>
      </c>
      <c r="P218" t="s">
        <v>1001</v>
      </c>
    </row>
    <row r="219" spans="1:16" x14ac:dyDescent="0.3">
      <c r="A219" t="s">
        <v>796</v>
      </c>
      <c r="B219" s="1">
        <v>40913</v>
      </c>
      <c r="C219" s="1" t="str">
        <f t="shared" si="12"/>
        <v>Thursday</v>
      </c>
      <c r="D219" s="1" t="str">
        <f t="shared" si="13"/>
        <v>January</v>
      </c>
      <c r="E219">
        <f t="shared" si="14"/>
        <v>2012</v>
      </c>
      <c r="F219" t="s">
        <v>445</v>
      </c>
      <c r="G219" t="s">
        <v>286</v>
      </c>
      <c r="H219" t="s">
        <v>40</v>
      </c>
      <c r="I219" t="s">
        <v>446</v>
      </c>
      <c r="J219" t="s">
        <v>38</v>
      </c>
      <c r="K219" t="s">
        <v>51</v>
      </c>
      <c r="L219" t="s">
        <v>38</v>
      </c>
      <c r="M219" t="str">
        <f t="shared" si="15"/>
        <v>Win</v>
      </c>
      <c r="N219" t="s">
        <v>436</v>
      </c>
      <c r="O219" t="s">
        <v>485</v>
      </c>
      <c r="P219" t="s">
        <v>1002</v>
      </c>
    </row>
    <row r="220" spans="1:16" x14ac:dyDescent="0.3">
      <c r="A220" t="s">
        <v>797</v>
      </c>
      <c r="B220" s="1">
        <v>40914</v>
      </c>
      <c r="C220" s="1" t="str">
        <f t="shared" si="12"/>
        <v>Friday</v>
      </c>
      <c r="D220" s="1" t="str">
        <f t="shared" si="13"/>
        <v>January</v>
      </c>
      <c r="E220">
        <f t="shared" si="14"/>
        <v>2012</v>
      </c>
      <c r="F220" t="s">
        <v>445</v>
      </c>
      <c r="G220" t="s">
        <v>286</v>
      </c>
      <c r="H220" t="s">
        <v>42</v>
      </c>
      <c r="I220" t="s">
        <v>446</v>
      </c>
      <c r="J220" t="s">
        <v>38</v>
      </c>
      <c r="K220" t="s">
        <v>135</v>
      </c>
      <c r="L220" t="s">
        <v>38</v>
      </c>
      <c r="M220" t="str">
        <f t="shared" si="15"/>
        <v>Win</v>
      </c>
      <c r="N220" t="s">
        <v>385</v>
      </c>
      <c r="O220" t="s">
        <v>1001</v>
      </c>
      <c r="P220" t="s">
        <v>1001</v>
      </c>
    </row>
    <row r="221" spans="1:16" x14ac:dyDescent="0.3">
      <c r="A221" t="s">
        <v>798</v>
      </c>
      <c r="B221" s="1">
        <v>40915</v>
      </c>
      <c r="C221" s="1" t="str">
        <f t="shared" si="12"/>
        <v>Saturday</v>
      </c>
      <c r="D221" s="1" t="str">
        <f t="shared" si="13"/>
        <v>January</v>
      </c>
      <c r="E221">
        <f t="shared" si="14"/>
        <v>2012</v>
      </c>
      <c r="F221" t="s">
        <v>445</v>
      </c>
      <c r="G221" t="s">
        <v>286</v>
      </c>
      <c r="H221" t="s">
        <v>46</v>
      </c>
      <c r="I221" t="s">
        <v>446</v>
      </c>
      <c r="J221" t="s">
        <v>38</v>
      </c>
      <c r="K221" t="s">
        <v>120</v>
      </c>
      <c r="L221" t="s">
        <v>38</v>
      </c>
      <c r="M221" t="str">
        <f t="shared" si="15"/>
        <v>Win</v>
      </c>
      <c r="N221" t="s">
        <v>1004</v>
      </c>
      <c r="O221" t="s">
        <v>1001</v>
      </c>
      <c r="P221" t="s">
        <v>1001</v>
      </c>
    </row>
    <row r="222" spans="1:16" x14ac:dyDescent="0.3">
      <c r="A222" t="s">
        <v>799</v>
      </c>
      <c r="B222" s="1">
        <v>40916</v>
      </c>
      <c r="C222" s="1" t="str">
        <f t="shared" si="12"/>
        <v>Sunday</v>
      </c>
      <c r="D222" s="1" t="str">
        <f t="shared" si="13"/>
        <v>January</v>
      </c>
      <c r="E222">
        <f t="shared" si="14"/>
        <v>2012</v>
      </c>
      <c r="F222" t="s">
        <v>445</v>
      </c>
      <c r="G222" t="s">
        <v>286</v>
      </c>
      <c r="H222" t="s">
        <v>47</v>
      </c>
      <c r="I222" t="s">
        <v>446</v>
      </c>
      <c r="J222" t="s">
        <v>38</v>
      </c>
      <c r="K222" t="s">
        <v>29</v>
      </c>
      <c r="L222" t="s">
        <v>38</v>
      </c>
      <c r="M222" t="str">
        <f t="shared" si="15"/>
        <v>Win</v>
      </c>
      <c r="N222" t="s">
        <v>1014</v>
      </c>
      <c r="O222" t="s">
        <v>385</v>
      </c>
      <c r="P222" t="s">
        <v>485</v>
      </c>
    </row>
    <row r="223" spans="1:16" x14ac:dyDescent="0.3">
      <c r="A223" t="s">
        <v>800</v>
      </c>
      <c r="B223" s="1">
        <v>40919</v>
      </c>
      <c r="C223" s="1" t="str">
        <f t="shared" si="12"/>
        <v>Wednesday</v>
      </c>
      <c r="D223" s="1" t="str">
        <f t="shared" si="13"/>
        <v>January</v>
      </c>
      <c r="E223">
        <f t="shared" si="14"/>
        <v>2012</v>
      </c>
      <c r="F223" t="s">
        <v>449</v>
      </c>
      <c r="G223" t="s">
        <v>1</v>
      </c>
      <c r="H223" t="s">
        <v>17</v>
      </c>
      <c r="I223" t="s">
        <v>450</v>
      </c>
      <c r="J223" t="s">
        <v>38</v>
      </c>
      <c r="K223" t="s">
        <v>8</v>
      </c>
      <c r="L223" t="s">
        <v>38</v>
      </c>
      <c r="M223" t="str">
        <f t="shared" si="15"/>
        <v>Win</v>
      </c>
      <c r="N223" t="s">
        <v>1004</v>
      </c>
      <c r="O223" t="s">
        <v>1001</v>
      </c>
      <c r="P223" t="s">
        <v>1001</v>
      </c>
    </row>
    <row r="224" spans="1:16" x14ac:dyDescent="0.3">
      <c r="A224" t="s">
        <v>801</v>
      </c>
      <c r="B224" s="1">
        <v>40920</v>
      </c>
      <c r="C224" s="1" t="str">
        <f t="shared" si="12"/>
        <v>Thursday</v>
      </c>
      <c r="D224" s="1" t="str">
        <f t="shared" si="13"/>
        <v>January</v>
      </c>
      <c r="E224">
        <f t="shared" si="14"/>
        <v>2012</v>
      </c>
      <c r="F224" t="s">
        <v>449</v>
      </c>
      <c r="G224" t="s">
        <v>1</v>
      </c>
      <c r="H224" t="s">
        <v>40</v>
      </c>
      <c r="I224" t="s">
        <v>450</v>
      </c>
      <c r="J224" t="s">
        <v>38</v>
      </c>
      <c r="K224" t="s">
        <v>244</v>
      </c>
      <c r="L224" t="s">
        <v>38</v>
      </c>
      <c r="M224" t="str">
        <f t="shared" si="15"/>
        <v>Win</v>
      </c>
      <c r="N224" t="s">
        <v>1004</v>
      </c>
      <c r="O224" t="s">
        <v>1001</v>
      </c>
      <c r="P224" t="s">
        <v>1001</v>
      </c>
    </row>
    <row r="225" spans="1:16" x14ac:dyDescent="0.3">
      <c r="A225" t="s">
        <v>802</v>
      </c>
      <c r="B225" s="1">
        <v>40921</v>
      </c>
      <c r="C225" s="1" t="str">
        <f t="shared" si="12"/>
        <v>Friday</v>
      </c>
      <c r="D225" s="1" t="str">
        <f t="shared" si="13"/>
        <v>January</v>
      </c>
      <c r="E225">
        <f t="shared" si="14"/>
        <v>2012</v>
      </c>
      <c r="F225" t="s">
        <v>449</v>
      </c>
      <c r="G225" t="s">
        <v>1</v>
      </c>
      <c r="H225" t="s">
        <v>42</v>
      </c>
      <c r="I225" t="s">
        <v>450</v>
      </c>
      <c r="J225" t="s">
        <v>38</v>
      </c>
      <c r="K225" t="s">
        <v>30</v>
      </c>
      <c r="L225" t="s">
        <v>38</v>
      </c>
      <c r="M225" t="str">
        <f t="shared" si="15"/>
        <v>Win</v>
      </c>
      <c r="N225" t="s">
        <v>1011</v>
      </c>
      <c r="O225" t="s">
        <v>1001</v>
      </c>
      <c r="P225" t="s">
        <v>1001</v>
      </c>
    </row>
    <row r="226" spans="1:16" x14ac:dyDescent="0.3">
      <c r="A226" t="s">
        <v>803</v>
      </c>
      <c r="B226" s="1">
        <v>40922</v>
      </c>
      <c r="C226" s="1" t="str">
        <f t="shared" si="12"/>
        <v>Saturday</v>
      </c>
      <c r="D226" s="1" t="str">
        <f t="shared" si="13"/>
        <v>January</v>
      </c>
      <c r="E226">
        <f t="shared" si="14"/>
        <v>2012</v>
      </c>
      <c r="F226" t="s">
        <v>449</v>
      </c>
      <c r="G226" t="s">
        <v>1</v>
      </c>
      <c r="H226" t="s">
        <v>46</v>
      </c>
      <c r="I226" t="s">
        <v>450</v>
      </c>
      <c r="J226" t="s">
        <v>38</v>
      </c>
      <c r="K226" t="s">
        <v>253</v>
      </c>
      <c r="L226" t="s">
        <v>38</v>
      </c>
      <c r="M226" t="str">
        <f t="shared" si="15"/>
        <v>Win</v>
      </c>
      <c r="N226" t="s">
        <v>385</v>
      </c>
      <c r="O226" t="s">
        <v>406</v>
      </c>
      <c r="P226" t="s">
        <v>203</v>
      </c>
    </row>
    <row r="227" spans="1:16" x14ac:dyDescent="0.3">
      <c r="A227" t="s">
        <v>804</v>
      </c>
      <c r="B227" s="1">
        <v>40923</v>
      </c>
      <c r="C227" s="1" t="str">
        <f t="shared" si="12"/>
        <v>Sunday</v>
      </c>
      <c r="D227" s="1" t="str">
        <f t="shared" si="13"/>
        <v>January</v>
      </c>
      <c r="E227">
        <f t="shared" si="14"/>
        <v>2012</v>
      </c>
      <c r="F227" t="s">
        <v>449</v>
      </c>
      <c r="G227" t="s">
        <v>1</v>
      </c>
      <c r="H227" t="s">
        <v>47</v>
      </c>
      <c r="I227" t="s">
        <v>450</v>
      </c>
      <c r="J227" t="s">
        <v>38</v>
      </c>
      <c r="K227" t="s">
        <v>135</v>
      </c>
      <c r="L227" t="s">
        <v>38</v>
      </c>
      <c r="M227" t="str">
        <f t="shared" si="15"/>
        <v>Win</v>
      </c>
      <c r="N227" t="s">
        <v>1012</v>
      </c>
      <c r="O227" t="s">
        <v>1001</v>
      </c>
      <c r="P227" t="s">
        <v>1001</v>
      </c>
    </row>
    <row r="228" spans="1:16" x14ac:dyDescent="0.3">
      <c r="A228" t="s">
        <v>805</v>
      </c>
      <c r="B228" s="1">
        <v>40975</v>
      </c>
      <c r="C228" s="1" t="str">
        <f t="shared" si="12"/>
        <v>Wednesday</v>
      </c>
      <c r="D228" s="1" t="str">
        <f t="shared" si="13"/>
        <v>March</v>
      </c>
      <c r="E228">
        <f t="shared" si="14"/>
        <v>2012</v>
      </c>
      <c r="F228" t="s">
        <v>453</v>
      </c>
      <c r="G228" t="s">
        <v>286</v>
      </c>
      <c r="H228" t="s">
        <v>17</v>
      </c>
      <c r="I228" t="s">
        <v>374</v>
      </c>
      <c r="J228" t="s">
        <v>38</v>
      </c>
      <c r="K228" t="s">
        <v>338</v>
      </c>
      <c r="L228" t="s">
        <v>38</v>
      </c>
      <c r="M228" t="str">
        <f t="shared" si="15"/>
        <v>Win</v>
      </c>
      <c r="N228" t="s">
        <v>550</v>
      </c>
      <c r="O228" t="s">
        <v>1001</v>
      </c>
      <c r="P228" t="s">
        <v>1001</v>
      </c>
    </row>
    <row r="229" spans="1:16" x14ac:dyDescent="0.3">
      <c r="A229" t="s">
        <v>806</v>
      </c>
      <c r="B229" s="1">
        <v>40976</v>
      </c>
      <c r="C229" s="1" t="str">
        <f t="shared" si="12"/>
        <v>Thursday</v>
      </c>
      <c r="D229" s="1" t="str">
        <f t="shared" si="13"/>
        <v>March</v>
      </c>
      <c r="E229">
        <f t="shared" si="14"/>
        <v>2012</v>
      </c>
      <c r="F229" t="s">
        <v>453</v>
      </c>
      <c r="G229" t="s">
        <v>286</v>
      </c>
      <c r="H229" t="s">
        <v>40</v>
      </c>
      <c r="I229" t="s">
        <v>374</v>
      </c>
      <c r="J229" t="s">
        <v>38</v>
      </c>
      <c r="K229" t="s">
        <v>64</v>
      </c>
      <c r="L229" t="s">
        <v>38</v>
      </c>
      <c r="M229" t="str">
        <f t="shared" si="15"/>
        <v>Win</v>
      </c>
      <c r="N229" t="s">
        <v>1003</v>
      </c>
      <c r="O229" t="s">
        <v>1001</v>
      </c>
      <c r="P229" t="s">
        <v>1001</v>
      </c>
    </row>
    <row r="230" spans="1:16" x14ac:dyDescent="0.3">
      <c r="A230" t="s">
        <v>807</v>
      </c>
      <c r="B230" s="1">
        <v>40977</v>
      </c>
      <c r="C230" s="1" t="str">
        <f t="shared" si="12"/>
        <v>Friday</v>
      </c>
      <c r="D230" s="1" t="str">
        <f t="shared" si="13"/>
        <v>March</v>
      </c>
      <c r="E230">
        <f t="shared" si="14"/>
        <v>2012</v>
      </c>
      <c r="F230" t="s">
        <v>453</v>
      </c>
      <c r="G230" t="s">
        <v>286</v>
      </c>
      <c r="H230" t="s">
        <v>42</v>
      </c>
      <c r="I230" t="s">
        <v>374</v>
      </c>
      <c r="J230" t="s">
        <v>38</v>
      </c>
      <c r="K230" t="s">
        <v>110</v>
      </c>
      <c r="L230" t="s">
        <v>38</v>
      </c>
      <c r="M230" t="str">
        <f t="shared" si="15"/>
        <v>Win</v>
      </c>
      <c r="N230" t="s">
        <v>1011</v>
      </c>
      <c r="O230" t="s">
        <v>1001</v>
      </c>
      <c r="P230" t="s">
        <v>1001</v>
      </c>
    </row>
    <row r="231" spans="1:16" x14ac:dyDescent="0.3">
      <c r="A231" t="s">
        <v>808</v>
      </c>
      <c r="B231" s="1">
        <v>40978</v>
      </c>
      <c r="C231" s="1" t="str">
        <f t="shared" si="12"/>
        <v>Saturday</v>
      </c>
      <c r="D231" s="1" t="str">
        <f t="shared" si="13"/>
        <v>March</v>
      </c>
      <c r="E231">
        <f t="shared" si="14"/>
        <v>2012</v>
      </c>
      <c r="F231" t="s">
        <v>453</v>
      </c>
      <c r="G231" t="s">
        <v>286</v>
      </c>
      <c r="H231" t="s">
        <v>46</v>
      </c>
      <c r="I231" t="s">
        <v>374</v>
      </c>
      <c r="J231" t="s">
        <v>38</v>
      </c>
      <c r="K231" t="s">
        <v>54</v>
      </c>
      <c r="L231" t="s">
        <v>38</v>
      </c>
      <c r="M231" t="str">
        <f t="shared" si="15"/>
        <v>Win</v>
      </c>
      <c r="N231" t="s">
        <v>179</v>
      </c>
      <c r="O231" t="s">
        <v>1001</v>
      </c>
      <c r="P231" t="s">
        <v>1001</v>
      </c>
    </row>
    <row r="232" spans="1:16" x14ac:dyDescent="0.3">
      <c r="A232" t="s">
        <v>809</v>
      </c>
      <c r="B232" s="1">
        <v>40979</v>
      </c>
      <c r="C232" s="1" t="str">
        <f t="shared" si="12"/>
        <v>Sunday</v>
      </c>
      <c r="D232" s="1" t="str">
        <f t="shared" si="13"/>
        <v>March</v>
      </c>
      <c r="E232">
        <f t="shared" si="14"/>
        <v>2012</v>
      </c>
      <c r="F232" t="s">
        <v>453</v>
      </c>
      <c r="G232" t="s">
        <v>286</v>
      </c>
      <c r="H232" t="s">
        <v>47</v>
      </c>
      <c r="I232" t="s">
        <v>374</v>
      </c>
      <c r="J232" t="s">
        <v>38</v>
      </c>
      <c r="K232" t="s">
        <v>29</v>
      </c>
      <c r="L232" t="s">
        <v>29</v>
      </c>
      <c r="M232" t="str">
        <f t="shared" si="15"/>
        <v>Loss</v>
      </c>
      <c r="N232" t="s">
        <v>409</v>
      </c>
      <c r="O232" t="s">
        <v>1001</v>
      </c>
      <c r="P232" t="s">
        <v>1001</v>
      </c>
    </row>
    <row r="233" spans="1:16" x14ac:dyDescent="0.3">
      <c r="A233" t="s">
        <v>810</v>
      </c>
      <c r="B233" s="1">
        <v>41024</v>
      </c>
      <c r="C233" s="1" t="str">
        <f t="shared" si="12"/>
        <v>Wednesday</v>
      </c>
      <c r="D233" s="1" t="str">
        <f t="shared" si="13"/>
        <v>April</v>
      </c>
      <c r="E233">
        <f t="shared" si="14"/>
        <v>2012</v>
      </c>
      <c r="F233" t="s">
        <v>455</v>
      </c>
      <c r="G233" t="s">
        <v>1</v>
      </c>
      <c r="H233" t="s">
        <v>17</v>
      </c>
      <c r="I233" t="s">
        <v>378</v>
      </c>
      <c r="J233" t="s">
        <v>38</v>
      </c>
      <c r="K233" t="s">
        <v>223</v>
      </c>
      <c r="L233" t="s">
        <v>38</v>
      </c>
      <c r="M233" t="str">
        <f t="shared" si="15"/>
        <v>Win</v>
      </c>
      <c r="N233" t="s">
        <v>1004</v>
      </c>
      <c r="O233" t="s">
        <v>1001</v>
      </c>
      <c r="P233" t="s">
        <v>1001</v>
      </c>
    </row>
    <row r="234" spans="1:16" x14ac:dyDescent="0.3">
      <c r="A234" t="s">
        <v>811</v>
      </c>
      <c r="B234" s="1">
        <v>41025</v>
      </c>
      <c r="C234" s="1" t="str">
        <f t="shared" si="12"/>
        <v>Thursday</v>
      </c>
      <c r="D234" s="1" t="str">
        <f t="shared" si="13"/>
        <v>April</v>
      </c>
      <c r="E234">
        <f t="shared" si="14"/>
        <v>2012</v>
      </c>
      <c r="F234" t="s">
        <v>455</v>
      </c>
      <c r="G234" t="s">
        <v>1</v>
      </c>
      <c r="H234" t="s">
        <v>40</v>
      </c>
      <c r="I234" t="s">
        <v>378</v>
      </c>
      <c r="J234" t="s">
        <v>38</v>
      </c>
      <c r="K234" t="s">
        <v>79</v>
      </c>
      <c r="L234" t="s">
        <v>38</v>
      </c>
      <c r="M234" t="str">
        <f t="shared" si="15"/>
        <v>Win</v>
      </c>
      <c r="N234" t="s">
        <v>550</v>
      </c>
      <c r="O234" t="s">
        <v>566</v>
      </c>
      <c r="P234" t="s">
        <v>1007</v>
      </c>
    </row>
    <row r="235" spans="1:16" x14ac:dyDescent="0.3">
      <c r="A235" t="s">
        <v>812</v>
      </c>
      <c r="B235" s="1">
        <v>41026</v>
      </c>
      <c r="C235" s="1" t="str">
        <f t="shared" si="12"/>
        <v>Friday</v>
      </c>
      <c r="D235" s="1" t="str">
        <f t="shared" si="13"/>
        <v>April</v>
      </c>
      <c r="E235">
        <f t="shared" si="14"/>
        <v>2012</v>
      </c>
      <c r="F235" t="s">
        <v>455</v>
      </c>
      <c r="G235" t="s">
        <v>1</v>
      </c>
      <c r="H235" t="s">
        <v>42</v>
      </c>
      <c r="I235" t="s">
        <v>378</v>
      </c>
      <c r="J235" t="s">
        <v>38</v>
      </c>
      <c r="K235" t="s">
        <v>30</v>
      </c>
      <c r="L235" t="s">
        <v>38</v>
      </c>
      <c r="M235" t="str">
        <f t="shared" si="15"/>
        <v>Win</v>
      </c>
      <c r="N235" t="s">
        <v>550</v>
      </c>
      <c r="O235" t="s">
        <v>1001</v>
      </c>
      <c r="P235" t="s">
        <v>1001</v>
      </c>
    </row>
    <row r="236" spans="1:16" x14ac:dyDescent="0.3">
      <c r="A236" t="s">
        <v>813</v>
      </c>
      <c r="B236" s="1">
        <v>41027</v>
      </c>
      <c r="C236" s="1" t="str">
        <f t="shared" si="12"/>
        <v>Saturday</v>
      </c>
      <c r="D236" s="1" t="str">
        <f t="shared" si="13"/>
        <v>April</v>
      </c>
      <c r="E236">
        <f t="shared" si="14"/>
        <v>2012</v>
      </c>
      <c r="F236" t="s">
        <v>455</v>
      </c>
      <c r="G236" t="s">
        <v>1</v>
      </c>
      <c r="H236" t="s">
        <v>46</v>
      </c>
      <c r="I236" t="s">
        <v>378</v>
      </c>
      <c r="J236" t="s">
        <v>38</v>
      </c>
      <c r="K236" t="s">
        <v>224</v>
      </c>
      <c r="L236" t="s">
        <v>38</v>
      </c>
      <c r="M236" t="str">
        <f t="shared" si="15"/>
        <v>Win</v>
      </c>
      <c r="N236" t="s">
        <v>203</v>
      </c>
      <c r="O236" t="s">
        <v>1001</v>
      </c>
      <c r="P236" t="s">
        <v>1001</v>
      </c>
    </row>
    <row r="237" spans="1:16" x14ac:dyDescent="0.3">
      <c r="A237" t="s">
        <v>814</v>
      </c>
      <c r="B237" s="1">
        <v>41028</v>
      </c>
      <c r="C237" s="1" t="str">
        <f t="shared" si="12"/>
        <v>Sunday</v>
      </c>
      <c r="D237" s="1" t="str">
        <f t="shared" si="13"/>
        <v>April</v>
      </c>
      <c r="E237">
        <f t="shared" si="14"/>
        <v>2012</v>
      </c>
      <c r="F237" t="s">
        <v>455</v>
      </c>
      <c r="G237" t="s">
        <v>1</v>
      </c>
      <c r="H237" t="s">
        <v>47</v>
      </c>
      <c r="I237" t="s">
        <v>378</v>
      </c>
      <c r="J237" t="s">
        <v>38</v>
      </c>
      <c r="K237" t="s">
        <v>51</v>
      </c>
      <c r="L237" t="s">
        <v>51</v>
      </c>
      <c r="M237" t="str">
        <f t="shared" si="15"/>
        <v>Loss</v>
      </c>
      <c r="N237" t="s">
        <v>999</v>
      </c>
      <c r="O237" t="s">
        <v>485</v>
      </c>
      <c r="P237" t="s">
        <v>409</v>
      </c>
    </row>
    <row r="238" spans="1:16" x14ac:dyDescent="0.3">
      <c r="A238" t="s">
        <v>815</v>
      </c>
      <c r="B238" s="1">
        <v>41032</v>
      </c>
      <c r="C238" s="1" t="str">
        <f t="shared" si="12"/>
        <v>Thursday</v>
      </c>
      <c r="D238" s="1" t="str">
        <f t="shared" si="13"/>
        <v>May</v>
      </c>
      <c r="E238">
        <f t="shared" si="14"/>
        <v>2012</v>
      </c>
      <c r="F238" t="s">
        <v>458</v>
      </c>
      <c r="G238" t="s">
        <v>219</v>
      </c>
      <c r="H238" t="s">
        <v>17</v>
      </c>
      <c r="I238" t="s">
        <v>459</v>
      </c>
      <c r="J238" t="s">
        <v>38</v>
      </c>
      <c r="K238" t="s">
        <v>236</v>
      </c>
      <c r="L238" t="s">
        <v>38</v>
      </c>
      <c r="M238" t="str">
        <f t="shared" si="15"/>
        <v>Win</v>
      </c>
      <c r="N238" t="s">
        <v>1006</v>
      </c>
      <c r="O238" t="s">
        <v>1001</v>
      </c>
      <c r="P238" t="s">
        <v>1001</v>
      </c>
    </row>
    <row r="239" spans="1:16" x14ac:dyDescent="0.3">
      <c r="A239" t="s">
        <v>816</v>
      </c>
      <c r="B239" s="1">
        <v>41032</v>
      </c>
      <c r="C239" s="1" t="str">
        <f t="shared" si="12"/>
        <v>Thursday</v>
      </c>
      <c r="D239" s="1" t="str">
        <f t="shared" si="13"/>
        <v>May</v>
      </c>
      <c r="E239">
        <f t="shared" si="14"/>
        <v>2012</v>
      </c>
      <c r="F239" t="s">
        <v>458</v>
      </c>
      <c r="G239" t="s">
        <v>219</v>
      </c>
      <c r="H239" t="s">
        <v>40</v>
      </c>
      <c r="I239" t="s">
        <v>459</v>
      </c>
      <c r="J239" t="s">
        <v>38</v>
      </c>
      <c r="K239" t="s">
        <v>316</v>
      </c>
      <c r="L239" t="s">
        <v>38</v>
      </c>
      <c r="M239" t="str">
        <f t="shared" si="15"/>
        <v>Win</v>
      </c>
      <c r="N239" t="s">
        <v>998</v>
      </c>
      <c r="O239" t="s">
        <v>1001</v>
      </c>
      <c r="P239" t="s">
        <v>1001</v>
      </c>
    </row>
    <row r="240" spans="1:16" x14ac:dyDescent="0.3">
      <c r="A240" t="s">
        <v>817</v>
      </c>
      <c r="B240" s="1">
        <v>41033</v>
      </c>
      <c r="C240" s="1" t="str">
        <f t="shared" si="12"/>
        <v>Friday</v>
      </c>
      <c r="D240" s="1" t="str">
        <f t="shared" si="13"/>
        <v>May</v>
      </c>
      <c r="E240">
        <f t="shared" si="14"/>
        <v>2012</v>
      </c>
      <c r="F240" t="s">
        <v>458</v>
      </c>
      <c r="G240" t="s">
        <v>219</v>
      </c>
      <c r="H240" t="s">
        <v>42</v>
      </c>
      <c r="I240" t="s">
        <v>459</v>
      </c>
      <c r="J240" t="s">
        <v>38</v>
      </c>
      <c r="K240" t="s">
        <v>6</v>
      </c>
      <c r="L240" t="s">
        <v>38</v>
      </c>
      <c r="M240" t="str">
        <f t="shared" si="15"/>
        <v>Win</v>
      </c>
      <c r="N240" t="s">
        <v>385</v>
      </c>
      <c r="O240" t="s">
        <v>566</v>
      </c>
      <c r="P240" t="s">
        <v>1004</v>
      </c>
    </row>
    <row r="241" spans="1:16" x14ac:dyDescent="0.3">
      <c r="A241" t="s">
        <v>818</v>
      </c>
      <c r="B241" s="1">
        <v>41034</v>
      </c>
      <c r="C241" s="1" t="str">
        <f t="shared" si="12"/>
        <v>Saturday</v>
      </c>
      <c r="D241" s="1" t="str">
        <f t="shared" si="13"/>
        <v>May</v>
      </c>
      <c r="E241">
        <f t="shared" si="14"/>
        <v>2012</v>
      </c>
      <c r="F241" t="s">
        <v>458</v>
      </c>
      <c r="G241" t="s">
        <v>219</v>
      </c>
      <c r="H241" t="s">
        <v>46</v>
      </c>
      <c r="I241" t="s">
        <v>459</v>
      </c>
      <c r="J241" t="s">
        <v>38</v>
      </c>
      <c r="K241" t="s">
        <v>65</v>
      </c>
      <c r="L241" t="s">
        <v>38</v>
      </c>
      <c r="M241" t="str">
        <f t="shared" si="15"/>
        <v>Win</v>
      </c>
      <c r="N241" t="s">
        <v>385</v>
      </c>
      <c r="O241" t="s">
        <v>1001</v>
      </c>
      <c r="P241" t="s">
        <v>1001</v>
      </c>
    </row>
    <row r="242" spans="1:16" x14ac:dyDescent="0.3">
      <c r="A242" t="s">
        <v>819</v>
      </c>
      <c r="B242" s="1">
        <v>41035</v>
      </c>
      <c r="C242" s="1" t="str">
        <f t="shared" si="12"/>
        <v>Sunday</v>
      </c>
      <c r="D242" s="1" t="str">
        <f t="shared" si="13"/>
        <v>May</v>
      </c>
      <c r="E242">
        <f t="shared" si="14"/>
        <v>2012</v>
      </c>
      <c r="F242" t="s">
        <v>458</v>
      </c>
      <c r="G242" t="s">
        <v>219</v>
      </c>
      <c r="H242" t="s">
        <v>47</v>
      </c>
      <c r="I242" t="s">
        <v>459</v>
      </c>
      <c r="J242" t="s">
        <v>38</v>
      </c>
      <c r="K242" t="s">
        <v>3</v>
      </c>
      <c r="L242" t="s">
        <v>38</v>
      </c>
      <c r="M242" t="str">
        <f t="shared" si="15"/>
        <v>Win</v>
      </c>
      <c r="N242" t="s">
        <v>406</v>
      </c>
      <c r="O242" t="s">
        <v>1004</v>
      </c>
      <c r="P242" t="s">
        <v>1005</v>
      </c>
    </row>
    <row r="243" spans="1:16" x14ac:dyDescent="0.3">
      <c r="A243" t="s">
        <v>820</v>
      </c>
      <c r="B243" s="1">
        <v>41171</v>
      </c>
      <c r="C243" s="1" t="str">
        <f t="shared" si="12"/>
        <v>Wednesday</v>
      </c>
      <c r="D243" s="1" t="str">
        <f t="shared" si="13"/>
        <v>September</v>
      </c>
      <c r="E243">
        <f t="shared" si="14"/>
        <v>2012</v>
      </c>
      <c r="F243" t="s">
        <v>465</v>
      </c>
      <c r="G243" t="s">
        <v>1</v>
      </c>
      <c r="H243" t="s">
        <v>17</v>
      </c>
      <c r="I243" t="s">
        <v>348</v>
      </c>
      <c r="J243" t="s">
        <v>38</v>
      </c>
      <c r="K243" t="s">
        <v>63</v>
      </c>
      <c r="L243" t="s">
        <v>38</v>
      </c>
      <c r="M243" t="str">
        <f t="shared" si="15"/>
        <v>Win</v>
      </c>
      <c r="N243" t="s">
        <v>203</v>
      </c>
      <c r="O243" t="s">
        <v>1001</v>
      </c>
      <c r="P243" t="s">
        <v>1001</v>
      </c>
    </row>
    <row r="244" spans="1:16" x14ac:dyDescent="0.3">
      <c r="A244" t="s">
        <v>821</v>
      </c>
      <c r="B244" s="1">
        <v>41172</v>
      </c>
      <c r="C244" s="1" t="str">
        <f t="shared" si="12"/>
        <v>Thursday</v>
      </c>
      <c r="D244" s="1" t="str">
        <f t="shared" si="13"/>
        <v>September</v>
      </c>
      <c r="E244">
        <f t="shared" si="14"/>
        <v>2012</v>
      </c>
      <c r="F244" t="s">
        <v>465</v>
      </c>
      <c r="G244" t="s">
        <v>1</v>
      </c>
      <c r="H244" t="s">
        <v>40</v>
      </c>
      <c r="I244" t="s">
        <v>348</v>
      </c>
      <c r="J244" t="s">
        <v>38</v>
      </c>
      <c r="K244" t="s">
        <v>398</v>
      </c>
      <c r="L244" t="s">
        <v>38</v>
      </c>
      <c r="M244" t="str">
        <f t="shared" si="15"/>
        <v>Win</v>
      </c>
      <c r="N244" t="s">
        <v>1005</v>
      </c>
      <c r="O244" t="s">
        <v>1001</v>
      </c>
      <c r="P244" t="s">
        <v>1001</v>
      </c>
    </row>
    <row r="245" spans="1:16" x14ac:dyDescent="0.3">
      <c r="A245" t="s">
        <v>822</v>
      </c>
      <c r="B245" s="1">
        <v>41173</v>
      </c>
      <c r="C245" s="1" t="str">
        <f t="shared" si="12"/>
        <v>Friday</v>
      </c>
      <c r="D245" s="1" t="str">
        <f t="shared" si="13"/>
        <v>September</v>
      </c>
      <c r="E245">
        <f t="shared" si="14"/>
        <v>2012</v>
      </c>
      <c r="F245" t="s">
        <v>465</v>
      </c>
      <c r="G245" t="s">
        <v>1</v>
      </c>
      <c r="H245" t="s">
        <v>42</v>
      </c>
      <c r="I245" t="s">
        <v>348</v>
      </c>
      <c r="J245" t="s">
        <v>38</v>
      </c>
      <c r="K245" t="s">
        <v>6</v>
      </c>
      <c r="L245" t="s">
        <v>38</v>
      </c>
      <c r="M245" t="str">
        <f t="shared" si="15"/>
        <v>Win</v>
      </c>
      <c r="N245" t="s">
        <v>1002</v>
      </c>
      <c r="O245" t="s">
        <v>1001</v>
      </c>
      <c r="P245" t="s">
        <v>1001</v>
      </c>
    </row>
    <row r="246" spans="1:16" x14ac:dyDescent="0.3">
      <c r="A246" t="s">
        <v>823</v>
      </c>
      <c r="B246" s="1">
        <v>41174</v>
      </c>
      <c r="C246" s="1" t="str">
        <f t="shared" si="12"/>
        <v>Saturday</v>
      </c>
      <c r="D246" s="1" t="str">
        <f t="shared" si="13"/>
        <v>September</v>
      </c>
      <c r="E246">
        <f t="shared" si="14"/>
        <v>2012</v>
      </c>
      <c r="F246" t="s">
        <v>465</v>
      </c>
      <c r="G246" t="s">
        <v>1</v>
      </c>
      <c r="H246" t="s">
        <v>46</v>
      </c>
      <c r="I246" t="s">
        <v>348</v>
      </c>
      <c r="J246" t="s">
        <v>38</v>
      </c>
      <c r="K246" t="s">
        <v>68</v>
      </c>
      <c r="L246" t="s">
        <v>38</v>
      </c>
      <c r="M246" t="str">
        <f t="shared" si="15"/>
        <v>Win</v>
      </c>
      <c r="N246" t="s">
        <v>1006</v>
      </c>
      <c r="O246" t="s">
        <v>1001</v>
      </c>
      <c r="P246" t="s">
        <v>1001</v>
      </c>
    </row>
    <row r="247" spans="1:16" x14ac:dyDescent="0.3">
      <c r="A247" t="s">
        <v>824</v>
      </c>
      <c r="B247" s="1">
        <v>41175</v>
      </c>
      <c r="C247" s="1" t="str">
        <f t="shared" si="12"/>
        <v>Sunday</v>
      </c>
      <c r="D247" s="1" t="str">
        <f t="shared" si="13"/>
        <v>September</v>
      </c>
      <c r="E247">
        <f t="shared" si="14"/>
        <v>2012</v>
      </c>
      <c r="F247" t="s">
        <v>465</v>
      </c>
      <c r="G247" t="s">
        <v>1</v>
      </c>
      <c r="H247" t="s">
        <v>47</v>
      </c>
      <c r="I247" t="s">
        <v>348</v>
      </c>
      <c r="J247" t="s">
        <v>38</v>
      </c>
      <c r="K247" t="s">
        <v>23</v>
      </c>
      <c r="L247" t="s">
        <v>38</v>
      </c>
      <c r="M247" t="str">
        <f t="shared" si="15"/>
        <v>Win</v>
      </c>
      <c r="N247" t="s">
        <v>385</v>
      </c>
      <c r="O247" t="s">
        <v>1001</v>
      </c>
      <c r="P247" t="s">
        <v>1001</v>
      </c>
    </row>
    <row r="248" spans="1:16" x14ac:dyDescent="0.3">
      <c r="A248" t="s">
        <v>825</v>
      </c>
      <c r="B248" s="1">
        <v>41199</v>
      </c>
      <c r="C248" s="1" t="str">
        <f t="shared" si="12"/>
        <v>Wednesday</v>
      </c>
      <c r="D248" s="1" t="str">
        <f t="shared" si="13"/>
        <v>October</v>
      </c>
      <c r="E248">
        <f t="shared" si="14"/>
        <v>2012</v>
      </c>
      <c r="F248" t="s">
        <v>468</v>
      </c>
      <c r="G248" t="s">
        <v>286</v>
      </c>
      <c r="H248" t="s">
        <v>17</v>
      </c>
      <c r="I248" t="s">
        <v>402</v>
      </c>
      <c r="J248" t="s">
        <v>38</v>
      </c>
      <c r="K248" t="s">
        <v>398</v>
      </c>
      <c r="L248" t="s">
        <v>38</v>
      </c>
      <c r="M248" t="str">
        <f t="shared" si="15"/>
        <v>Win</v>
      </c>
      <c r="N248" t="s">
        <v>1004</v>
      </c>
      <c r="O248" t="s">
        <v>1001</v>
      </c>
      <c r="P248" t="s">
        <v>1001</v>
      </c>
    </row>
    <row r="249" spans="1:16" x14ac:dyDescent="0.3">
      <c r="A249" t="s">
        <v>826</v>
      </c>
      <c r="B249" s="1">
        <v>41200</v>
      </c>
      <c r="C249" s="1" t="str">
        <f t="shared" si="12"/>
        <v>Thursday</v>
      </c>
      <c r="D249" s="1" t="str">
        <f t="shared" si="13"/>
        <v>October</v>
      </c>
      <c r="E249">
        <f t="shared" si="14"/>
        <v>2012</v>
      </c>
      <c r="F249" t="s">
        <v>468</v>
      </c>
      <c r="G249" t="s">
        <v>286</v>
      </c>
      <c r="H249" t="s">
        <v>40</v>
      </c>
      <c r="I249" t="s">
        <v>402</v>
      </c>
      <c r="J249" t="s">
        <v>38</v>
      </c>
      <c r="K249" t="s">
        <v>23</v>
      </c>
      <c r="L249" t="s">
        <v>38</v>
      </c>
      <c r="M249" t="str">
        <f t="shared" si="15"/>
        <v>Win</v>
      </c>
      <c r="N249" t="s">
        <v>1010</v>
      </c>
      <c r="O249" t="s">
        <v>1001</v>
      </c>
      <c r="P249" t="s">
        <v>1001</v>
      </c>
    </row>
    <row r="250" spans="1:16" x14ac:dyDescent="0.3">
      <c r="A250" t="s">
        <v>827</v>
      </c>
      <c r="B250" s="1">
        <v>41201</v>
      </c>
      <c r="C250" s="1" t="str">
        <f t="shared" si="12"/>
        <v>Friday</v>
      </c>
      <c r="D250" s="1" t="str">
        <f t="shared" si="13"/>
        <v>October</v>
      </c>
      <c r="E250">
        <f t="shared" si="14"/>
        <v>2012</v>
      </c>
      <c r="F250" t="s">
        <v>468</v>
      </c>
      <c r="G250" t="s">
        <v>286</v>
      </c>
      <c r="H250" t="s">
        <v>42</v>
      </c>
      <c r="I250" t="s">
        <v>402</v>
      </c>
      <c r="J250" t="s">
        <v>38</v>
      </c>
      <c r="K250" t="s">
        <v>8</v>
      </c>
      <c r="L250" t="s">
        <v>38</v>
      </c>
      <c r="M250" t="str">
        <f t="shared" si="15"/>
        <v>Win</v>
      </c>
      <c r="N250" t="s">
        <v>550</v>
      </c>
      <c r="O250" t="s">
        <v>1001</v>
      </c>
      <c r="P250" t="s">
        <v>1001</v>
      </c>
    </row>
    <row r="251" spans="1:16" x14ac:dyDescent="0.3">
      <c r="A251" t="s">
        <v>828</v>
      </c>
      <c r="B251" s="1">
        <v>41202</v>
      </c>
      <c r="C251" s="1" t="str">
        <f t="shared" si="12"/>
        <v>Saturday</v>
      </c>
      <c r="D251" s="1" t="str">
        <f t="shared" si="13"/>
        <v>October</v>
      </c>
      <c r="E251">
        <f t="shared" si="14"/>
        <v>2012</v>
      </c>
      <c r="F251" t="s">
        <v>468</v>
      </c>
      <c r="G251" t="s">
        <v>286</v>
      </c>
      <c r="H251" t="s">
        <v>46</v>
      </c>
      <c r="I251" t="s">
        <v>402</v>
      </c>
      <c r="J251" t="s">
        <v>38</v>
      </c>
      <c r="K251" t="s">
        <v>149</v>
      </c>
      <c r="L251" t="s">
        <v>38</v>
      </c>
      <c r="M251" t="str">
        <f t="shared" si="15"/>
        <v>Win</v>
      </c>
      <c r="N251" t="s">
        <v>522</v>
      </c>
      <c r="O251" t="s">
        <v>1001</v>
      </c>
      <c r="P251" t="s">
        <v>1001</v>
      </c>
    </row>
    <row r="252" spans="1:16" x14ac:dyDescent="0.3">
      <c r="A252" t="s">
        <v>829</v>
      </c>
      <c r="B252" s="1">
        <v>41203</v>
      </c>
      <c r="C252" s="1" t="str">
        <f t="shared" si="12"/>
        <v>Sunday</v>
      </c>
      <c r="D252" s="1" t="str">
        <f t="shared" si="13"/>
        <v>October</v>
      </c>
      <c r="E252">
        <f t="shared" si="14"/>
        <v>2012</v>
      </c>
      <c r="F252" t="s">
        <v>468</v>
      </c>
      <c r="G252" t="s">
        <v>286</v>
      </c>
      <c r="H252" t="s">
        <v>47</v>
      </c>
      <c r="I252" t="s">
        <v>402</v>
      </c>
      <c r="J252" t="s">
        <v>38</v>
      </c>
      <c r="K252" t="s">
        <v>120</v>
      </c>
      <c r="L252" t="s">
        <v>38</v>
      </c>
      <c r="M252" t="str">
        <f t="shared" si="15"/>
        <v>Win</v>
      </c>
      <c r="N252" t="s">
        <v>566</v>
      </c>
      <c r="O252" t="s">
        <v>998</v>
      </c>
      <c r="P252" t="s">
        <v>179</v>
      </c>
    </row>
    <row r="253" spans="1:16" x14ac:dyDescent="0.3">
      <c r="A253" t="s">
        <v>830</v>
      </c>
      <c r="B253" s="1">
        <v>41234</v>
      </c>
      <c r="C253" s="1" t="str">
        <f t="shared" si="12"/>
        <v>Wednesday</v>
      </c>
      <c r="D253" s="1" t="str">
        <f t="shared" si="13"/>
        <v>November</v>
      </c>
      <c r="E253">
        <f t="shared" si="14"/>
        <v>2012</v>
      </c>
      <c r="F253" t="s">
        <v>469</v>
      </c>
      <c r="G253" t="s">
        <v>1</v>
      </c>
      <c r="H253" t="s">
        <v>17</v>
      </c>
      <c r="I253" t="s">
        <v>470</v>
      </c>
      <c r="J253" t="s">
        <v>38</v>
      </c>
      <c r="K253" t="s">
        <v>23</v>
      </c>
      <c r="L253" t="s">
        <v>38</v>
      </c>
      <c r="M253" t="str">
        <f t="shared" si="15"/>
        <v>Win</v>
      </c>
      <c r="N253" t="s">
        <v>1002</v>
      </c>
      <c r="O253" t="s">
        <v>1001</v>
      </c>
      <c r="P253" t="s">
        <v>1001</v>
      </c>
    </row>
    <row r="254" spans="1:16" x14ac:dyDescent="0.3">
      <c r="A254" t="s">
        <v>831</v>
      </c>
      <c r="B254" s="1">
        <v>41235</v>
      </c>
      <c r="C254" s="1" t="str">
        <f t="shared" si="12"/>
        <v>Thursday</v>
      </c>
      <c r="D254" s="1" t="str">
        <f t="shared" si="13"/>
        <v>November</v>
      </c>
      <c r="E254">
        <f t="shared" si="14"/>
        <v>2012</v>
      </c>
      <c r="F254" t="s">
        <v>469</v>
      </c>
      <c r="G254" t="s">
        <v>1</v>
      </c>
      <c r="H254" t="s">
        <v>40</v>
      </c>
      <c r="I254" t="s">
        <v>470</v>
      </c>
      <c r="J254" t="s">
        <v>38</v>
      </c>
      <c r="K254" t="s">
        <v>79</v>
      </c>
      <c r="L254" t="s">
        <v>38</v>
      </c>
      <c r="M254" t="str">
        <f t="shared" si="15"/>
        <v>Win</v>
      </c>
      <c r="N254" t="s">
        <v>385</v>
      </c>
      <c r="O254" t="s">
        <v>1001</v>
      </c>
      <c r="P254" t="s">
        <v>1001</v>
      </c>
    </row>
    <row r="255" spans="1:16" x14ac:dyDescent="0.3">
      <c r="A255" t="s">
        <v>832</v>
      </c>
      <c r="B255" s="1">
        <v>41236</v>
      </c>
      <c r="C255" s="1" t="str">
        <f t="shared" si="12"/>
        <v>Friday</v>
      </c>
      <c r="D255" s="1" t="str">
        <f t="shared" si="13"/>
        <v>November</v>
      </c>
      <c r="E255">
        <f t="shared" si="14"/>
        <v>2012</v>
      </c>
      <c r="F255" t="s">
        <v>469</v>
      </c>
      <c r="G255" t="s">
        <v>1</v>
      </c>
      <c r="H255" t="s">
        <v>42</v>
      </c>
      <c r="I255" t="s">
        <v>470</v>
      </c>
      <c r="J255" t="s">
        <v>38</v>
      </c>
      <c r="K255" t="s">
        <v>9</v>
      </c>
      <c r="L255" t="s">
        <v>38</v>
      </c>
      <c r="M255" t="str">
        <f t="shared" si="15"/>
        <v>Win</v>
      </c>
      <c r="N255" t="s">
        <v>385</v>
      </c>
      <c r="O255" t="s">
        <v>1001</v>
      </c>
      <c r="P255" t="s">
        <v>1001</v>
      </c>
    </row>
    <row r="256" spans="1:16" x14ac:dyDescent="0.3">
      <c r="A256" t="s">
        <v>833</v>
      </c>
      <c r="B256" s="1">
        <v>41237</v>
      </c>
      <c r="C256" s="1" t="str">
        <f t="shared" si="12"/>
        <v>Saturday</v>
      </c>
      <c r="D256" s="1" t="str">
        <f t="shared" si="13"/>
        <v>November</v>
      </c>
      <c r="E256">
        <f t="shared" si="14"/>
        <v>2012</v>
      </c>
      <c r="F256" t="s">
        <v>469</v>
      </c>
      <c r="G256" t="s">
        <v>1</v>
      </c>
      <c r="H256" t="s">
        <v>46</v>
      </c>
      <c r="I256" t="s">
        <v>470</v>
      </c>
      <c r="J256" t="s">
        <v>38</v>
      </c>
      <c r="K256" t="s">
        <v>135</v>
      </c>
      <c r="L256" t="s">
        <v>38</v>
      </c>
      <c r="M256" t="str">
        <f t="shared" si="15"/>
        <v>Win</v>
      </c>
      <c r="N256" t="s">
        <v>179</v>
      </c>
      <c r="O256" t="s">
        <v>1001</v>
      </c>
      <c r="P256" t="s">
        <v>1001</v>
      </c>
    </row>
    <row r="257" spans="1:16" x14ac:dyDescent="0.3">
      <c r="A257" t="s">
        <v>834</v>
      </c>
      <c r="B257" s="1">
        <v>41238</v>
      </c>
      <c r="C257" s="1" t="str">
        <f t="shared" si="12"/>
        <v>Sunday</v>
      </c>
      <c r="D257" s="1" t="str">
        <f t="shared" si="13"/>
        <v>November</v>
      </c>
      <c r="E257">
        <f t="shared" si="14"/>
        <v>2012</v>
      </c>
      <c r="F257" t="s">
        <v>469</v>
      </c>
      <c r="G257" t="s">
        <v>1</v>
      </c>
      <c r="H257" t="s">
        <v>47</v>
      </c>
      <c r="I257" t="s">
        <v>470</v>
      </c>
      <c r="J257" t="s">
        <v>38</v>
      </c>
      <c r="K257" t="s">
        <v>253</v>
      </c>
      <c r="L257" t="s">
        <v>253</v>
      </c>
      <c r="M257" t="str">
        <f t="shared" si="15"/>
        <v>Loss</v>
      </c>
      <c r="N257" t="s">
        <v>409</v>
      </c>
      <c r="O257" t="s">
        <v>1001</v>
      </c>
      <c r="P257" t="s">
        <v>1001</v>
      </c>
    </row>
    <row r="258" spans="1:16" x14ac:dyDescent="0.3">
      <c r="A258" t="s">
        <v>835</v>
      </c>
      <c r="B258" s="1">
        <v>41255</v>
      </c>
      <c r="C258" s="1" t="str">
        <f t="shared" si="12"/>
        <v>Wednesday</v>
      </c>
      <c r="D258" s="1" t="str">
        <f t="shared" si="13"/>
        <v>December</v>
      </c>
      <c r="E258">
        <f t="shared" si="14"/>
        <v>2012</v>
      </c>
      <c r="F258" t="s">
        <v>471</v>
      </c>
      <c r="G258" t="s">
        <v>286</v>
      </c>
      <c r="H258" t="s">
        <v>287</v>
      </c>
      <c r="I258" t="s">
        <v>472</v>
      </c>
      <c r="J258" t="s">
        <v>38</v>
      </c>
      <c r="K258" t="s">
        <v>120</v>
      </c>
      <c r="L258" t="s">
        <v>120</v>
      </c>
      <c r="M258" t="str">
        <f t="shared" si="15"/>
        <v>Loss</v>
      </c>
      <c r="N258" t="s">
        <v>998</v>
      </c>
      <c r="O258" t="s">
        <v>505</v>
      </c>
      <c r="P258" t="s">
        <v>1000</v>
      </c>
    </row>
    <row r="259" spans="1:16" x14ac:dyDescent="0.3">
      <c r="A259" t="s">
        <v>836</v>
      </c>
      <c r="B259" s="1">
        <v>41283</v>
      </c>
      <c r="C259" s="1" t="str">
        <f t="shared" ref="C259:C322" si="16">TEXT(B259,"dddd")</f>
        <v>Wednesday</v>
      </c>
      <c r="D259" s="1" t="str">
        <f t="shared" ref="D259:D322" si="17">TEXT(B259,"mmmm")</f>
        <v>January</v>
      </c>
      <c r="E259">
        <f t="shared" ref="E259:E322" si="18">YEAR(B259)</f>
        <v>2013</v>
      </c>
      <c r="F259" t="s">
        <v>474</v>
      </c>
      <c r="G259" t="s">
        <v>286</v>
      </c>
      <c r="H259" t="s">
        <v>17</v>
      </c>
      <c r="I259" t="s">
        <v>365</v>
      </c>
      <c r="J259" t="s">
        <v>38</v>
      </c>
      <c r="K259" t="s">
        <v>338</v>
      </c>
      <c r="L259" t="s">
        <v>38</v>
      </c>
      <c r="M259" t="str">
        <f t="shared" ref="M259:M322" si="19">IF(L259=J259,"Win","Loss")</f>
        <v>Win</v>
      </c>
      <c r="N259" t="s">
        <v>406</v>
      </c>
      <c r="O259" t="s">
        <v>485</v>
      </c>
      <c r="P259" t="s">
        <v>550</v>
      </c>
    </row>
    <row r="260" spans="1:16" x14ac:dyDescent="0.3">
      <c r="A260" t="s">
        <v>837</v>
      </c>
      <c r="B260" s="1">
        <v>41284</v>
      </c>
      <c r="C260" s="1" t="str">
        <f t="shared" si="16"/>
        <v>Thursday</v>
      </c>
      <c r="D260" s="1" t="str">
        <f t="shared" si="17"/>
        <v>January</v>
      </c>
      <c r="E260">
        <f t="shared" si="18"/>
        <v>2013</v>
      </c>
      <c r="F260" t="s">
        <v>474</v>
      </c>
      <c r="G260" t="s">
        <v>286</v>
      </c>
      <c r="H260" t="s">
        <v>40</v>
      </c>
      <c r="I260" t="s">
        <v>365</v>
      </c>
      <c r="J260" t="s">
        <v>38</v>
      </c>
      <c r="K260" t="s">
        <v>158</v>
      </c>
      <c r="L260" t="s">
        <v>38</v>
      </c>
      <c r="M260" t="str">
        <f t="shared" si="19"/>
        <v>Win</v>
      </c>
      <c r="N260" t="s">
        <v>1010</v>
      </c>
      <c r="O260" t="s">
        <v>1001</v>
      </c>
      <c r="P260" t="s">
        <v>1001</v>
      </c>
    </row>
    <row r="261" spans="1:16" x14ac:dyDescent="0.3">
      <c r="A261" t="s">
        <v>838</v>
      </c>
      <c r="B261" s="1">
        <v>41285</v>
      </c>
      <c r="C261" s="1" t="str">
        <f t="shared" si="16"/>
        <v>Friday</v>
      </c>
      <c r="D261" s="1" t="str">
        <f t="shared" si="17"/>
        <v>January</v>
      </c>
      <c r="E261">
        <f t="shared" si="18"/>
        <v>2013</v>
      </c>
      <c r="F261" t="s">
        <v>474</v>
      </c>
      <c r="G261" t="s">
        <v>286</v>
      </c>
      <c r="H261" t="s">
        <v>42</v>
      </c>
      <c r="I261" t="s">
        <v>365</v>
      </c>
      <c r="J261" t="s">
        <v>38</v>
      </c>
      <c r="K261" t="s">
        <v>220</v>
      </c>
      <c r="L261" t="s">
        <v>38</v>
      </c>
      <c r="M261" t="str">
        <f t="shared" si="19"/>
        <v>Win</v>
      </c>
      <c r="N261" t="s">
        <v>1002</v>
      </c>
      <c r="O261" t="s">
        <v>1001</v>
      </c>
      <c r="P261" t="s">
        <v>1001</v>
      </c>
    </row>
    <row r="262" spans="1:16" x14ac:dyDescent="0.3">
      <c r="A262" t="s">
        <v>839</v>
      </c>
      <c r="B262" s="1">
        <v>41286</v>
      </c>
      <c r="C262" s="1" t="str">
        <f t="shared" si="16"/>
        <v>Saturday</v>
      </c>
      <c r="D262" s="1" t="str">
        <f t="shared" si="17"/>
        <v>January</v>
      </c>
      <c r="E262">
        <f t="shared" si="18"/>
        <v>2013</v>
      </c>
      <c r="F262" t="s">
        <v>474</v>
      </c>
      <c r="G262" t="s">
        <v>286</v>
      </c>
      <c r="H262" t="s">
        <v>46</v>
      </c>
      <c r="I262" t="s">
        <v>365</v>
      </c>
      <c r="J262" t="s">
        <v>38</v>
      </c>
      <c r="K262" t="s">
        <v>169</v>
      </c>
      <c r="L262" t="s">
        <v>38</v>
      </c>
      <c r="M262" t="str">
        <f t="shared" si="19"/>
        <v>Win</v>
      </c>
      <c r="N262" t="s">
        <v>1010</v>
      </c>
      <c r="O262" t="s">
        <v>1001</v>
      </c>
      <c r="P262" t="s">
        <v>1001</v>
      </c>
    </row>
    <row r="263" spans="1:16" x14ac:dyDescent="0.3">
      <c r="A263" t="s">
        <v>840</v>
      </c>
      <c r="B263" s="1">
        <v>41287</v>
      </c>
      <c r="C263" s="1" t="str">
        <f t="shared" si="16"/>
        <v>Sunday</v>
      </c>
      <c r="D263" s="1" t="str">
        <f t="shared" si="17"/>
        <v>January</v>
      </c>
      <c r="E263">
        <f t="shared" si="18"/>
        <v>2013</v>
      </c>
      <c r="F263" t="s">
        <v>474</v>
      </c>
      <c r="G263" t="s">
        <v>286</v>
      </c>
      <c r="H263" t="s">
        <v>47</v>
      </c>
      <c r="I263" t="s">
        <v>365</v>
      </c>
      <c r="J263" t="s">
        <v>38</v>
      </c>
      <c r="K263" t="s">
        <v>120</v>
      </c>
      <c r="L263" t="s">
        <v>38</v>
      </c>
      <c r="M263" t="str">
        <f t="shared" si="19"/>
        <v>Win</v>
      </c>
      <c r="N263" t="s">
        <v>998</v>
      </c>
      <c r="O263" t="s">
        <v>1001</v>
      </c>
      <c r="P263" t="s">
        <v>1001</v>
      </c>
    </row>
    <row r="264" spans="1:16" x14ac:dyDescent="0.3">
      <c r="A264" t="s">
        <v>841</v>
      </c>
      <c r="B264" s="1">
        <v>41290</v>
      </c>
      <c r="C264" s="1" t="str">
        <f t="shared" si="16"/>
        <v>Wednesday</v>
      </c>
      <c r="D264" s="1" t="str">
        <f t="shared" si="17"/>
        <v>January</v>
      </c>
      <c r="E264">
        <f t="shared" si="18"/>
        <v>2013</v>
      </c>
      <c r="F264" t="s">
        <v>475</v>
      </c>
      <c r="G264" t="s">
        <v>1</v>
      </c>
      <c r="H264" t="s">
        <v>17</v>
      </c>
      <c r="I264" t="s">
        <v>412</v>
      </c>
      <c r="J264" t="s">
        <v>38</v>
      </c>
      <c r="K264" t="s">
        <v>398</v>
      </c>
      <c r="L264" t="s">
        <v>38</v>
      </c>
      <c r="M264" t="str">
        <f t="shared" si="19"/>
        <v>Win</v>
      </c>
      <c r="N264" t="s">
        <v>1004</v>
      </c>
      <c r="O264" t="s">
        <v>1001</v>
      </c>
      <c r="P264" t="s">
        <v>1001</v>
      </c>
    </row>
    <row r="265" spans="1:16" x14ac:dyDescent="0.3">
      <c r="A265" t="s">
        <v>842</v>
      </c>
      <c r="B265" s="1">
        <v>41292</v>
      </c>
      <c r="C265" s="1" t="str">
        <f t="shared" si="16"/>
        <v>Friday</v>
      </c>
      <c r="D265" s="1" t="str">
        <f t="shared" si="17"/>
        <v>January</v>
      </c>
      <c r="E265">
        <f t="shared" si="18"/>
        <v>2013</v>
      </c>
      <c r="F265" t="s">
        <v>475</v>
      </c>
      <c r="G265" t="s">
        <v>1</v>
      </c>
      <c r="H265" t="s">
        <v>42</v>
      </c>
      <c r="I265" t="s">
        <v>412</v>
      </c>
      <c r="J265" t="s">
        <v>38</v>
      </c>
      <c r="K265" t="s">
        <v>220</v>
      </c>
      <c r="L265" t="s">
        <v>38</v>
      </c>
      <c r="M265" t="str">
        <f t="shared" si="19"/>
        <v>Win</v>
      </c>
      <c r="N265" t="s">
        <v>998</v>
      </c>
      <c r="O265" t="s">
        <v>1001</v>
      </c>
      <c r="P265" t="s">
        <v>1001</v>
      </c>
    </row>
    <row r="266" spans="1:16" x14ac:dyDescent="0.3">
      <c r="A266" t="s">
        <v>843</v>
      </c>
      <c r="B266" s="1">
        <v>41293</v>
      </c>
      <c r="C266" s="1" t="str">
        <f t="shared" si="16"/>
        <v>Saturday</v>
      </c>
      <c r="D266" s="1" t="str">
        <f t="shared" si="17"/>
        <v>January</v>
      </c>
      <c r="E266">
        <f t="shared" si="18"/>
        <v>2013</v>
      </c>
      <c r="F266" t="s">
        <v>475</v>
      </c>
      <c r="G266" t="s">
        <v>1</v>
      </c>
      <c r="H266" t="s">
        <v>46</v>
      </c>
      <c r="I266" t="s">
        <v>412</v>
      </c>
      <c r="J266" t="s">
        <v>38</v>
      </c>
      <c r="K266" t="s">
        <v>149</v>
      </c>
      <c r="L266" t="s">
        <v>38</v>
      </c>
      <c r="M266" t="str">
        <f t="shared" si="19"/>
        <v>Win</v>
      </c>
      <c r="N266" t="s">
        <v>203</v>
      </c>
      <c r="O266" t="s">
        <v>406</v>
      </c>
      <c r="P266" t="s">
        <v>998</v>
      </c>
    </row>
    <row r="267" spans="1:16" x14ac:dyDescent="0.3">
      <c r="A267" t="s">
        <v>844</v>
      </c>
      <c r="B267" s="1">
        <v>41294</v>
      </c>
      <c r="C267" s="1" t="str">
        <f t="shared" si="16"/>
        <v>Sunday</v>
      </c>
      <c r="D267" s="1" t="str">
        <f t="shared" si="17"/>
        <v>January</v>
      </c>
      <c r="E267">
        <f t="shared" si="18"/>
        <v>2013</v>
      </c>
      <c r="F267" t="s">
        <v>475</v>
      </c>
      <c r="G267" t="s">
        <v>1</v>
      </c>
      <c r="H267" t="s">
        <v>47</v>
      </c>
      <c r="I267" t="s">
        <v>412</v>
      </c>
      <c r="J267" t="s">
        <v>38</v>
      </c>
      <c r="K267" t="s">
        <v>3</v>
      </c>
      <c r="L267" t="s">
        <v>38</v>
      </c>
      <c r="M267" t="str">
        <f t="shared" si="19"/>
        <v>Win</v>
      </c>
      <c r="N267" t="s">
        <v>1006</v>
      </c>
      <c r="O267" t="s">
        <v>1001</v>
      </c>
      <c r="P267" t="s">
        <v>1001</v>
      </c>
    </row>
    <row r="268" spans="1:16" x14ac:dyDescent="0.3">
      <c r="A268" t="s">
        <v>845</v>
      </c>
      <c r="B268" s="1">
        <v>41339</v>
      </c>
      <c r="C268" s="1" t="str">
        <f t="shared" si="16"/>
        <v>Wednesday</v>
      </c>
      <c r="D268" s="1" t="str">
        <f t="shared" si="17"/>
        <v>March</v>
      </c>
      <c r="E268">
        <f t="shared" si="18"/>
        <v>2013</v>
      </c>
      <c r="F268" t="s">
        <v>477</v>
      </c>
      <c r="G268" t="s">
        <v>286</v>
      </c>
      <c r="H268" t="s">
        <v>17</v>
      </c>
      <c r="I268" t="s">
        <v>374</v>
      </c>
      <c r="J268" t="s">
        <v>38</v>
      </c>
      <c r="K268" t="s">
        <v>169</v>
      </c>
      <c r="L268" t="s">
        <v>38</v>
      </c>
      <c r="M268" t="str">
        <f t="shared" si="19"/>
        <v>Win</v>
      </c>
      <c r="N268" t="s">
        <v>436</v>
      </c>
      <c r="O268" t="s">
        <v>1012</v>
      </c>
      <c r="P268" t="s">
        <v>1003</v>
      </c>
    </row>
    <row r="269" spans="1:16" x14ac:dyDescent="0.3">
      <c r="A269" t="s">
        <v>846</v>
      </c>
      <c r="B269" s="1">
        <v>41340</v>
      </c>
      <c r="C269" s="1" t="str">
        <f t="shared" si="16"/>
        <v>Thursday</v>
      </c>
      <c r="D269" s="1" t="str">
        <f t="shared" si="17"/>
        <v>March</v>
      </c>
      <c r="E269">
        <f t="shared" si="18"/>
        <v>2013</v>
      </c>
      <c r="F269" t="s">
        <v>477</v>
      </c>
      <c r="G269" t="s">
        <v>286</v>
      </c>
      <c r="H269" t="s">
        <v>40</v>
      </c>
      <c r="I269" t="s">
        <v>374</v>
      </c>
      <c r="J269" t="s">
        <v>38</v>
      </c>
      <c r="K269" t="s">
        <v>338</v>
      </c>
      <c r="L269" t="s">
        <v>38</v>
      </c>
      <c r="M269" t="str">
        <f t="shared" si="19"/>
        <v>Win</v>
      </c>
      <c r="N269" t="s">
        <v>524</v>
      </c>
      <c r="O269" t="s">
        <v>1001</v>
      </c>
      <c r="P269" t="s">
        <v>1001</v>
      </c>
    </row>
    <row r="270" spans="1:16" x14ac:dyDescent="0.3">
      <c r="A270" t="s">
        <v>847</v>
      </c>
      <c r="B270" s="1">
        <v>41341</v>
      </c>
      <c r="C270" s="1" t="str">
        <f t="shared" si="16"/>
        <v>Friday</v>
      </c>
      <c r="D270" s="1" t="str">
        <f t="shared" si="17"/>
        <v>March</v>
      </c>
      <c r="E270">
        <f t="shared" si="18"/>
        <v>2013</v>
      </c>
      <c r="F270" t="s">
        <v>477</v>
      </c>
      <c r="G270" t="s">
        <v>286</v>
      </c>
      <c r="H270" t="s">
        <v>42</v>
      </c>
      <c r="I270" t="s">
        <v>374</v>
      </c>
      <c r="J270" t="s">
        <v>38</v>
      </c>
      <c r="K270" t="s">
        <v>9</v>
      </c>
      <c r="L270" t="s">
        <v>38</v>
      </c>
      <c r="M270" t="str">
        <f t="shared" si="19"/>
        <v>Win</v>
      </c>
      <c r="N270" t="s">
        <v>524</v>
      </c>
      <c r="O270" t="s">
        <v>1001</v>
      </c>
      <c r="P270" t="s">
        <v>1001</v>
      </c>
    </row>
    <row r="271" spans="1:16" x14ac:dyDescent="0.3">
      <c r="A271" t="s">
        <v>848</v>
      </c>
      <c r="B271" s="1">
        <v>41342</v>
      </c>
      <c r="C271" s="1" t="str">
        <f t="shared" si="16"/>
        <v>Saturday</v>
      </c>
      <c r="D271" s="1" t="str">
        <f t="shared" si="17"/>
        <v>March</v>
      </c>
      <c r="E271">
        <f t="shared" si="18"/>
        <v>2013</v>
      </c>
      <c r="F271" t="s">
        <v>477</v>
      </c>
      <c r="G271" t="s">
        <v>286</v>
      </c>
      <c r="H271" t="s">
        <v>46</v>
      </c>
      <c r="I271" t="s">
        <v>374</v>
      </c>
      <c r="J271" t="s">
        <v>38</v>
      </c>
      <c r="K271" t="s">
        <v>227</v>
      </c>
      <c r="L271" t="s">
        <v>38</v>
      </c>
      <c r="M271" t="str">
        <f t="shared" si="19"/>
        <v>Win</v>
      </c>
      <c r="N271" t="s">
        <v>522</v>
      </c>
      <c r="O271" t="s">
        <v>1001</v>
      </c>
      <c r="P271" t="s">
        <v>1001</v>
      </c>
    </row>
    <row r="272" spans="1:16" x14ac:dyDescent="0.3">
      <c r="A272" t="s">
        <v>849</v>
      </c>
      <c r="B272" s="1">
        <v>41343</v>
      </c>
      <c r="C272" s="1" t="str">
        <f t="shared" si="16"/>
        <v>Sunday</v>
      </c>
      <c r="D272" s="1" t="str">
        <f t="shared" si="17"/>
        <v>March</v>
      </c>
      <c r="E272">
        <f t="shared" si="18"/>
        <v>2013</v>
      </c>
      <c r="F272" t="s">
        <v>477</v>
      </c>
      <c r="G272" t="s">
        <v>286</v>
      </c>
      <c r="H272" t="s">
        <v>47</v>
      </c>
      <c r="I272" t="s">
        <v>374</v>
      </c>
      <c r="J272" t="s">
        <v>38</v>
      </c>
      <c r="K272" t="s">
        <v>253</v>
      </c>
      <c r="L272" t="s">
        <v>253</v>
      </c>
      <c r="M272" t="str">
        <f t="shared" si="19"/>
        <v>Loss</v>
      </c>
      <c r="N272" t="s">
        <v>406</v>
      </c>
      <c r="O272" t="s">
        <v>1001</v>
      </c>
      <c r="P272" t="s">
        <v>1001</v>
      </c>
    </row>
    <row r="273" spans="1:16" x14ac:dyDescent="0.3">
      <c r="A273" t="s">
        <v>850</v>
      </c>
      <c r="B273" s="1">
        <v>41366</v>
      </c>
      <c r="C273" s="1" t="str">
        <f t="shared" si="16"/>
        <v>Tuesday</v>
      </c>
      <c r="D273" s="1" t="str">
        <f t="shared" si="17"/>
        <v>April</v>
      </c>
      <c r="E273">
        <f t="shared" si="18"/>
        <v>2013</v>
      </c>
      <c r="F273" t="s">
        <v>479</v>
      </c>
      <c r="G273" t="s">
        <v>1</v>
      </c>
      <c r="H273" t="s">
        <v>222</v>
      </c>
      <c r="I273" t="s">
        <v>480</v>
      </c>
      <c r="J273" t="s">
        <v>38</v>
      </c>
      <c r="K273" t="s">
        <v>185</v>
      </c>
      <c r="L273" t="s">
        <v>38</v>
      </c>
      <c r="M273" t="str">
        <f t="shared" si="19"/>
        <v>Win</v>
      </c>
      <c r="N273" t="s">
        <v>1005</v>
      </c>
      <c r="O273" t="s">
        <v>1001</v>
      </c>
      <c r="P273" t="s">
        <v>1001</v>
      </c>
    </row>
    <row r="274" spans="1:16" x14ac:dyDescent="0.3">
      <c r="A274" t="s">
        <v>851</v>
      </c>
      <c r="B274" s="1">
        <v>41367</v>
      </c>
      <c r="C274" s="1" t="str">
        <f t="shared" si="16"/>
        <v>Wednesday</v>
      </c>
      <c r="D274" s="1" t="str">
        <f t="shared" si="17"/>
        <v>April</v>
      </c>
      <c r="E274">
        <f t="shared" si="18"/>
        <v>2013</v>
      </c>
      <c r="F274" t="s">
        <v>479</v>
      </c>
      <c r="G274" t="s">
        <v>1</v>
      </c>
      <c r="H274" t="s">
        <v>17</v>
      </c>
      <c r="I274" t="s">
        <v>480</v>
      </c>
      <c r="J274" t="s">
        <v>38</v>
      </c>
      <c r="K274" t="s">
        <v>391</v>
      </c>
      <c r="L274" t="s">
        <v>38</v>
      </c>
      <c r="M274" t="str">
        <f t="shared" si="19"/>
        <v>Win</v>
      </c>
      <c r="N274" t="s">
        <v>1006</v>
      </c>
      <c r="O274" t="s">
        <v>1001</v>
      </c>
      <c r="P274" t="s">
        <v>1001</v>
      </c>
    </row>
    <row r="275" spans="1:16" x14ac:dyDescent="0.3">
      <c r="A275" t="s">
        <v>852</v>
      </c>
      <c r="B275" s="1">
        <v>41368</v>
      </c>
      <c r="C275" s="1" t="str">
        <f t="shared" si="16"/>
        <v>Thursday</v>
      </c>
      <c r="D275" s="1" t="str">
        <f t="shared" si="17"/>
        <v>April</v>
      </c>
      <c r="E275">
        <f t="shared" si="18"/>
        <v>2013</v>
      </c>
      <c r="F275" t="s">
        <v>479</v>
      </c>
      <c r="G275" t="s">
        <v>1</v>
      </c>
      <c r="H275" t="s">
        <v>40</v>
      </c>
      <c r="I275" t="s">
        <v>480</v>
      </c>
      <c r="J275" t="s">
        <v>38</v>
      </c>
      <c r="K275" t="s">
        <v>221</v>
      </c>
      <c r="L275" t="s">
        <v>38</v>
      </c>
      <c r="M275" t="str">
        <f t="shared" si="19"/>
        <v>Win</v>
      </c>
      <c r="N275" t="s">
        <v>1005</v>
      </c>
      <c r="O275" t="s">
        <v>999</v>
      </c>
      <c r="P275" t="s">
        <v>1002</v>
      </c>
    </row>
    <row r="276" spans="1:16" x14ac:dyDescent="0.3">
      <c r="A276" t="s">
        <v>853</v>
      </c>
      <c r="B276" s="1">
        <v>41369</v>
      </c>
      <c r="C276" s="1" t="str">
        <f t="shared" si="16"/>
        <v>Friday</v>
      </c>
      <c r="D276" s="1" t="str">
        <f t="shared" si="17"/>
        <v>April</v>
      </c>
      <c r="E276">
        <f t="shared" si="18"/>
        <v>2013</v>
      </c>
      <c r="F276" t="s">
        <v>479</v>
      </c>
      <c r="G276" t="s">
        <v>1</v>
      </c>
      <c r="H276" t="s">
        <v>42</v>
      </c>
      <c r="I276" t="s">
        <v>480</v>
      </c>
      <c r="J276" t="s">
        <v>38</v>
      </c>
      <c r="K276" t="s">
        <v>345</v>
      </c>
      <c r="L276" t="s">
        <v>38</v>
      </c>
      <c r="M276" t="str">
        <f t="shared" si="19"/>
        <v>Win</v>
      </c>
      <c r="N276" t="s">
        <v>1010</v>
      </c>
      <c r="O276" t="s">
        <v>1001</v>
      </c>
      <c r="P276" t="s">
        <v>1001</v>
      </c>
    </row>
    <row r="277" spans="1:16" x14ac:dyDescent="0.3">
      <c r="A277" t="s">
        <v>854</v>
      </c>
      <c r="B277" s="1">
        <v>41370</v>
      </c>
      <c r="C277" s="1" t="str">
        <f t="shared" si="16"/>
        <v>Saturday</v>
      </c>
      <c r="D277" s="1" t="str">
        <f t="shared" si="17"/>
        <v>April</v>
      </c>
      <c r="E277">
        <f t="shared" si="18"/>
        <v>2013</v>
      </c>
      <c r="F277" t="s">
        <v>479</v>
      </c>
      <c r="G277" t="s">
        <v>1</v>
      </c>
      <c r="H277" t="s">
        <v>46</v>
      </c>
      <c r="I277" t="s">
        <v>480</v>
      </c>
      <c r="J277" t="s">
        <v>38</v>
      </c>
      <c r="K277" t="s">
        <v>343</v>
      </c>
      <c r="L277" t="s">
        <v>343</v>
      </c>
      <c r="M277" t="str">
        <f t="shared" si="19"/>
        <v>Loss</v>
      </c>
      <c r="N277" t="s">
        <v>409</v>
      </c>
      <c r="O277" t="s">
        <v>524</v>
      </c>
      <c r="P277" t="s">
        <v>999</v>
      </c>
    </row>
    <row r="278" spans="1:16" x14ac:dyDescent="0.3">
      <c r="A278" t="s">
        <v>855</v>
      </c>
      <c r="B278" s="1">
        <v>41388</v>
      </c>
      <c r="C278" s="1" t="str">
        <f t="shared" si="16"/>
        <v>Wednesday</v>
      </c>
      <c r="D278" s="1" t="str">
        <f t="shared" si="17"/>
        <v>April</v>
      </c>
      <c r="E278">
        <f t="shared" si="18"/>
        <v>2013</v>
      </c>
      <c r="F278" t="s">
        <v>482</v>
      </c>
      <c r="G278" t="s">
        <v>1</v>
      </c>
      <c r="H278" t="s">
        <v>17</v>
      </c>
      <c r="I278" t="s">
        <v>378</v>
      </c>
      <c r="J278" t="s">
        <v>38</v>
      </c>
      <c r="K278" t="s">
        <v>69</v>
      </c>
      <c r="L278" t="s">
        <v>38</v>
      </c>
      <c r="M278" t="str">
        <f t="shared" si="19"/>
        <v>Win</v>
      </c>
      <c r="N278" t="s">
        <v>550</v>
      </c>
      <c r="O278" t="s">
        <v>1001</v>
      </c>
      <c r="P278" t="s">
        <v>1001</v>
      </c>
    </row>
    <row r="279" spans="1:16" x14ac:dyDescent="0.3">
      <c r="A279" t="s">
        <v>856</v>
      </c>
      <c r="B279" s="1">
        <v>41389</v>
      </c>
      <c r="C279" s="1" t="str">
        <f t="shared" si="16"/>
        <v>Thursday</v>
      </c>
      <c r="D279" s="1" t="str">
        <f t="shared" si="17"/>
        <v>April</v>
      </c>
      <c r="E279">
        <f t="shared" si="18"/>
        <v>2013</v>
      </c>
      <c r="F279" t="s">
        <v>482</v>
      </c>
      <c r="G279" t="s">
        <v>1</v>
      </c>
      <c r="H279" t="s">
        <v>40</v>
      </c>
      <c r="I279" t="s">
        <v>378</v>
      </c>
      <c r="J279" t="s">
        <v>38</v>
      </c>
      <c r="K279" t="s">
        <v>422</v>
      </c>
      <c r="L279" t="s">
        <v>38</v>
      </c>
      <c r="M279" t="str">
        <f t="shared" si="19"/>
        <v>Win</v>
      </c>
      <c r="N279" t="s">
        <v>524</v>
      </c>
      <c r="O279" t="s">
        <v>1001</v>
      </c>
      <c r="P279" t="s">
        <v>1001</v>
      </c>
    </row>
    <row r="280" spans="1:16" x14ac:dyDescent="0.3">
      <c r="A280" t="s">
        <v>857</v>
      </c>
      <c r="B280" s="1">
        <v>41390</v>
      </c>
      <c r="C280" s="1" t="str">
        <f t="shared" si="16"/>
        <v>Friday</v>
      </c>
      <c r="D280" s="1" t="str">
        <f t="shared" si="17"/>
        <v>April</v>
      </c>
      <c r="E280">
        <f t="shared" si="18"/>
        <v>2013</v>
      </c>
      <c r="F280" t="s">
        <v>482</v>
      </c>
      <c r="G280" t="s">
        <v>1</v>
      </c>
      <c r="H280" t="s">
        <v>42</v>
      </c>
      <c r="I280" t="s">
        <v>378</v>
      </c>
      <c r="J280" t="s">
        <v>38</v>
      </c>
      <c r="K280" t="s">
        <v>363</v>
      </c>
      <c r="L280" t="s">
        <v>38</v>
      </c>
      <c r="M280" t="str">
        <f t="shared" si="19"/>
        <v>Win</v>
      </c>
      <c r="N280" t="s">
        <v>485</v>
      </c>
      <c r="O280" t="s">
        <v>1001</v>
      </c>
      <c r="P280" t="s">
        <v>1001</v>
      </c>
    </row>
    <row r="281" spans="1:16" x14ac:dyDescent="0.3">
      <c r="A281" t="s">
        <v>858</v>
      </c>
      <c r="B281" s="1">
        <v>41391</v>
      </c>
      <c r="C281" s="1" t="str">
        <f t="shared" si="16"/>
        <v>Saturday</v>
      </c>
      <c r="D281" s="1" t="str">
        <f t="shared" si="17"/>
        <v>April</v>
      </c>
      <c r="E281">
        <f t="shared" si="18"/>
        <v>2013</v>
      </c>
      <c r="F281" t="s">
        <v>482</v>
      </c>
      <c r="G281" t="s">
        <v>1</v>
      </c>
      <c r="H281" t="s">
        <v>46</v>
      </c>
      <c r="I281" t="s">
        <v>378</v>
      </c>
      <c r="J281" t="s">
        <v>38</v>
      </c>
      <c r="K281" t="s">
        <v>23</v>
      </c>
      <c r="L281" t="s">
        <v>38</v>
      </c>
      <c r="M281" t="str">
        <f t="shared" si="19"/>
        <v>Win</v>
      </c>
      <c r="N281" t="s">
        <v>1010</v>
      </c>
      <c r="O281" t="s">
        <v>999</v>
      </c>
      <c r="P281" t="s">
        <v>1004</v>
      </c>
    </row>
    <row r="282" spans="1:16" x14ac:dyDescent="0.3">
      <c r="A282" t="s">
        <v>859</v>
      </c>
      <c r="B282" s="1">
        <v>41392</v>
      </c>
      <c r="C282" s="1" t="str">
        <f t="shared" si="16"/>
        <v>Sunday</v>
      </c>
      <c r="D282" s="1" t="str">
        <f t="shared" si="17"/>
        <v>April</v>
      </c>
      <c r="E282">
        <f t="shared" si="18"/>
        <v>2013</v>
      </c>
      <c r="F282" t="s">
        <v>482</v>
      </c>
      <c r="G282" t="s">
        <v>1</v>
      </c>
      <c r="H282" t="s">
        <v>47</v>
      </c>
      <c r="I282" t="s">
        <v>378</v>
      </c>
      <c r="J282" t="s">
        <v>38</v>
      </c>
      <c r="K282" t="s">
        <v>135</v>
      </c>
      <c r="L282" t="s">
        <v>38</v>
      </c>
      <c r="M282" t="str">
        <f t="shared" si="19"/>
        <v>Win</v>
      </c>
      <c r="N282" t="s">
        <v>1002</v>
      </c>
      <c r="O282" t="s">
        <v>999</v>
      </c>
      <c r="P282" t="s">
        <v>524</v>
      </c>
    </row>
    <row r="283" spans="1:16" x14ac:dyDescent="0.3">
      <c r="A283" t="s">
        <v>860</v>
      </c>
      <c r="B283" s="1">
        <v>41437</v>
      </c>
      <c r="C283" s="1" t="str">
        <f t="shared" si="16"/>
        <v>Wednesday</v>
      </c>
      <c r="D283" s="1" t="str">
        <f t="shared" si="17"/>
        <v>June</v>
      </c>
      <c r="E283">
        <f t="shared" si="18"/>
        <v>2013</v>
      </c>
      <c r="F283" t="s">
        <v>486</v>
      </c>
      <c r="G283" t="s">
        <v>286</v>
      </c>
      <c r="H283" t="s">
        <v>17</v>
      </c>
      <c r="I283" t="s">
        <v>487</v>
      </c>
      <c r="J283" t="s">
        <v>38</v>
      </c>
      <c r="K283" t="s">
        <v>338</v>
      </c>
      <c r="L283" t="s">
        <v>38</v>
      </c>
      <c r="M283" t="str">
        <f t="shared" si="19"/>
        <v>Win</v>
      </c>
      <c r="N283" t="s">
        <v>1000</v>
      </c>
      <c r="O283" t="s">
        <v>1022</v>
      </c>
      <c r="P283" t="s">
        <v>522</v>
      </c>
    </row>
    <row r="284" spans="1:16" x14ac:dyDescent="0.3">
      <c r="A284" t="s">
        <v>861</v>
      </c>
      <c r="B284" s="1">
        <v>41438</v>
      </c>
      <c r="C284" s="1" t="str">
        <f t="shared" si="16"/>
        <v>Thursday</v>
      </c>
      <c r="D284" s="1" t="str">
        <f t="shared" si="17"/>
        <v>June</v>
      </c>
      <c r="E284">
        <f t="shared" si="18"/>
        <v>2013</v>
      </c>
      <c r="F284" t="s">
        <v>486</v>
      </c>
      <c r="G284" t="s">
        <v>286</v>
      </c>
      <c r="H284" t="s">
        <v>40</v>
      </c>
      <c r="I284" t="s">
        <v>487</v>
      </c>
      <c r="J284" t="s">
        <v>38</v>
      </c>
      <c r="K284" t="s">
        <v>316</v>
      </c>
      <c r="L284" t="s">
        <v>38</v>
      </c>
      <c r="M284" t="str">
        <f t="shared" si="19"/>
        <v>Win</v>
      </c>
      <c r="N284" t="s">
        <v>385</v>
      </c>
      <c r="O284" t="s">
        <v>1001</v>
      </c>
      <c r="P284" t="s">
        <v>1001</v>
      </c>
    </row>
    <row r="285" spans="1:16" x14ac:dyDescent="0.3">
      <c r="A285" t="s">
        <v>862</v>
      </c>
      <c r="B285" s="1">
        <v>41439</v>
      </c>
      <c r="C285" s="1" t="str">
        <f t="shared" si="16"/>
        <v>Friday</v>
      </c>
      <c r="D285" s="1" t="str">
        <f t="shared" si="17"/>
        <v>June</v>
      </c>
      <c r="E285">
        <f t="shared" si="18"/>
        <v>2013</v>
      </c>
      <c r="F285" t="s">
        <v>486</v>
      </c>
      <c r="G285" t="s">
        <v>286</v>
      </c>
      <c r="H285" t="s">
        <v>42</v>
      </c>
      <c r="I285" t="s">
        <v>487</v>
      </c>
      <c r="J285" t="s">
        <v>38</v>
      </c>
      <c r="K285" t="s">
        <v>23</v>
      </c>
      <c r="L285" t="s">
        <v>38</v>
      </c>
      <c r="M285" t="str">
        <f t="shared" si="19"/>
        <v>Win</v>
      </c>
      <c r="N285" t="s">
        <v>1005</v>
      </c>
      <c r="O285" t="s">
        <v>1001</v>
      </c>
      <c r="P285" t="s">
        <v>1001</v>
      </c>
    </row>
    <row r="286" spans="1:16" x14ac:dyDescent="0.3">
      <c r="A286" t="s">
        <v>863</v>
      </c>
      <c r="B286" s="1">
        <v>41440</v>
      </c>
      <c r="C286" s="1" t="str">
        <f t="shared" si="16"/>
        <v>Saturday</v>
      </c>
      <c r="D286" s="1" t="str">
        <f t="shared" si="17"/>
        <v>June</v>
      </c>
      <c r="E286">
        <f t="shared" si="18"/>
        <v>2013</v>
      </c>
      <c r="F286" t="s">
        <v>486</v>
      </c>
      <c r="G286" t="s">
        <v>286</v>
      </c>
      <c r="H286" t="s">
        <v>46</v>
      </c>
      <c r="I286" t="s">
        <v>487</v>
      </c>
      <c r="J286" t="s">
        <v>38</v>
      </c>
      <c r="K286" t="s">
        <v>110</v>
      </c>
      <c r="L286" t="s">
        <v>38</v>
      </c>
      <c r="M286" t="str">
        <f t="shared" si="19"/>
        <v>Win</v>
      </c>
      <c r="N286" t="s">
        <v>524</v>
      </c>
      <c r="O286" t="s">
        <v>1001</v>
      </c>
      <c r="P286" t="s">
        <v>1001</v>
      </c>
    </row>
    <row r="287" spans="1:16" x14ac:dyDescent="0.3">
      <c r="A287" t="s">
        <v>864</v>
      </c>
      <c r="B287" s="1">
        <v>41441</v>
      </c>
      <c r="C287" s="1" t="str">
        <f t="shared" si="16"/>
        <v>Sunday</v>
      </c>
      <c r="D287" s="1" t="str">
        <f t="shared" si="17"/>
        <v>June</v>
      </c>
      <c r="E287">
        <f t="shared" si="18"/>
        <v>2013</v>
      </c>
      <c r="F287" t="s">
        <v>486</v>
      </c>
      <c r="G287" t="s">
        <v>286</v>
      </c>
      <c r="H287" t="s">
        <v>47</v>
      </c>
      <c r="I287" t="s">
        <v>487</v>
      </c>
      <c r="J287" t="s">
        <v>38</v>
      </c>
      <c r="K287" t="s">
        <v>158</v>
      </c>
      <c r="L287" t="s">
        <v>38</v>
      </c>
      <c r="M287" t="str">
        <f t="shared" si="19"/>
        <v>Win</v>
      </c>
      <c r="N287" t="s">
        <v>1002</v>
      </c>
      <c r="O287" t="s">
        <v>1001</v>
      </c>
      <c r="P287" t="s">
        <v>1001</v>
      </c>
    </row>
    <row r="288" spans="1:16" x14ac:dyDescent="0.3">
      <c r="A288" t="s">
        <v>865</v>
      </c>
      <c r="B288" s="1">
        <v>41535</v>
      </c>
      <c r="C288" s="1" t="str">
        <f t="shared" si="16"/>
        <v>Wednesday</v>
      </c>
      <c r="D288" s="1" t="str">
        <f t="shared" si="17"/>
        <v>September</v>
      </c>
      <c r="E288">
        <f t="shared" si="18"/>
        <v>2013</v>
      </c>
      <c r="F288" t="s">
        <v>489</v>
      </c>
      <c r="G288" t="s">
        <v>1</v>
      </c>
      <c r="H288" t="s">
        <v>17</v>
      </c>
      <c r="I288" t="s">
        <v>348</v>
      </c>
      <c r="J288" t="s">
        <v>38</v>
      </c>
      <c r="K288" t="s">
        <v>224</v>
      </c>
      <c r="L288" t="s">
        <v>38</v>
      </c>
      <c r="M288" t="str">
        <f t="shared" si="19"/>
        <v>Win</v>
      </c>
      <c r="N288" t="s">
        <v>1002</v>
      </c>
      <c r="O288" t="s">
        <v>1001</v>
      </c>
      <c r="P288" t="s">
        <v>1001</v>
      </c>
    </row>
    <row r="289" spans="1:16" x14ac:dyDescent="0.3">
      <c r="A289" t="s">
        <v>866</v>
      </c>
      <c r="B289" s="1">
        <v>41536</v>
      </c>
      <c r="C289" s="1" t="str">
        <f t="shared" si="16"/>
        <v>Thursday</v>
      </c>
      <c r="D289" s="1" t="str">
        <f t="shared" si="17"/>
        <v>September</v>
      </c>
      <c r="E289">
        <f t="shared" si="18"/>
        <v>2013</v>
      </c>
      <c r="F289" t="s">
        <v>489</v>
      </c>
      <c r="G289" t="s">
        <v>1</v>
      </c>
      <c r="H289" t="s">
        <v>40</v>
      </c>
      <c r="I289" t="s">
        <v>348</v>
      </c>
      <c r="J289" t="s">
        <v>38</v>
      </c>
      <c r="K289" t="s">
        <v>63</v>
      </c>
      <c r="L289" t="s">
        <v>38</v>
      </c>
      <c r="M289" t="str">
        <f t="shared" si="19"/>
        <v>Win</v>
      </c>
      <c r="N289" t="s">
        <v>998</v>
      </c>
      <c r="O289" t="s">
        <v>1001</v>
      </c>
      <c r="P289" t="s">
        <v>1001</v>
      </c>
    </row>
    <row r="290" spans="1:16" x14ac:dyDescent="0.3">
      <c r="A290" t="s">
        <v>867</v>
      </c>
      <c r="B290" s="1">
        <v>41537</v>
      </c>
      <c r="C290" s="1" t="str">
        <f t="shared" si="16"/>
        <v>Friday</v>
      </c>
      <c r="D290" s="1" t="str">
        <f t="shared" si="17"/>
        <v>September</v>
      </c>
      <c r="E290">
        <f t="shared" si="18"/>
        <v>2013</v>
      </c>
      <c r="F290" t="s">
        <v>489</v>
      </c>
      <c r="G290" t="s">
        <v>1</v>
      </c>
      <c r="H290" t="s">
        <v>42</v>
      </c>
      <c r="I290" t="s">
        <v>348</v>
      </c>
      <c r="J290" t="s">
        <v>38</v>
      </c>
      <c r="K290" t="s">
        <v>243</v>
      </c>
      <c r="L290" t="s">
        <v>38</v>
      </c>
      <c r="M290" t="str">
        <f t="shared" si="19"/>
        <v>Win</v>
      </c>
      <c r="N290" t="s">
        <v>1005</v>
      </c>
      <c r="O290" t="s">
        <v>1001</v>
      </c>
      <c r="P290" t="s">
        <v>1001</v>
      </c>
    </row>
    <row r="291" spans="1:16" x14ac:dyDescent="0.3">
      <c r="A291" t="s">
        <v>868</v>
      </c>
      <c r="B291" s="1">
        <v>41538</v>
      </c>
      <c r="C291" s="1" t="str">
        <f t="shared" si="16"/>
        <v>Saturday</v>
      </c>
      <c r="D291" s="1" t="str">
        <f t="shared" si="17"/>
        <v>September</v>
      </c>
      <c r="E291">
        <f t="shared" si="18"/>
        <v>2013</v>
      </c>
      <c r="F291" t="s">
        <v>489</v>
      </c>
      <c r="G291" t="s">
        <v>1</v>
      </c>
      <c r="H291" t="s">
        <v>46</v>
      </c>
      <c r="I291" t="s">
        <v>348</v>
      </c>
      <c r="J291" t="s">
        <v>38</v>
      </c>
      <c r="K291" t="s">
        <v>9</v>
      </c>
      <c r="L291" t="s">
        <v>38</v>
      </c>
      <c r="M291" t="str">
        <f t="shared" si="19"/>
        <v>Win</v>
      </c>
      <c r="N291" t="s">
        <v>1005</v>
      </c>
      <c r="O291" t="s">
        <v>1001</v>
      </c>
      <c r="P291" t="s">
        <v>1001</v>
      </c>
    </row>
    <row r="292" spans="1:16" x14ac:dyDescent="0.3">
      <c r="A292" t="s">
        <v>869</v>
      </c>
      <c r="B292" s="1">
        <v>41539</v>
      </c>
      <c r="C292" s="1" t="str">
        <f t="shared" si="16"/>
        <v>Sunday</v>
      </c>
      <c r="D292" s="1" t="str">
        <f t="shared" si="17"/>
        <v>September</v>
      </c>
      <c r="E292">
        <f t="shared" si="18"/>
        <v>2013</v>
      </c>
      <c r="F292" t="s">
        <v>489</v>
      </c>
      <c r="G292" t="s">
        <v>1</v>
      </c>
      <c r="H292" t="s">
        <v>47</v>
      </c>
      <c r="I292" t="s">
        <v>348</v>
      </c>
      <c r="J292" t="s">
        <v>38</v>
      </c>
      <c r="K292" t="s">
        <v>135</v>
      </c>
      <c r="L292" t="s">
        <v>38</v>
      </c>
      <c r="M292" t="str">
        <f t="shared" si="19"/>
        <v>Win</v>
      </c>
      <c r="N292" t="s">
        <v>1003</v>
      </c>
      <c r="O292" t="s">
        <v>1001</v>
      </c>
      <c r="P292" t="s">
        <v>1001</v>
      </c>
    </row>
    <row r="293" spans="1:16" x14ac:dyDescent="0.3">
      <c r="A293" t="s">
        <v>870</v>
      </c>
      <c r="B293" s="1">
        <v>41563</v>
      </c>
      <c r="C293" s="1" t="str">
        <f t="shared" si="16"/>
        <v>Wednesday</v>
      </c>
      <c r="D293" s="1" t="str">
        <f t="shared" si="17"/>
        <v>October</v>
      </c>
      <c r="E293">
        <f t="shared" si="18"/>
        <v>2013</v>
      </c>
      <c r="F293" t="s">
        <v>492</v>
      </c>
      <c r="G293" t="s">
        <v>286</v>
      </c>
      <c r="H293" t="s">
        <v>17</v>
      </c>
      <c r="I293" t="s">
        <v>493</v>
      </c>
      <c r="J293" t="s">
        <v>38</v>
      </c>
      <c r="K293" t="s">
        <v>298</v>
      </c>
      <c r="L293" t="s">
        <v>38</v>
      </c>
      <c r="M293" t="str">
        <f t="shared" si="19"/>
        <v>Win</v>
      </c>
      <c r="N293" t="s">
        <v>1010</v>
      </c>
      <c r="O293" t="s">
        <v>1001</v>
      </c>
      <c r="P293" t="s">
        <v>1001</v>
      </c>
    </row>
    <row r="294" spans="1:16" x14ac:dyDescent="0.3">
      <c r="A294" t="s">
        <v>871</v>
      </c>
      <c r="B294" s="1">
        <v>41564</v>
      </c>
      <c r="C294" s="1" t="str">
        <f t="shared" si="16"/>
        <v>Thursday</v>
      </c>
      <c r="D294" s="1" t="str">
        <f t="shared" si="17"/>
        <v>October</v>
      </c>
      <c r="E294">
        <f t="shared" si="18"/>
        <v>2013</v>
      </c>
      <c r="F294" t="s">
        <v>492</v>
      </c>
      <c r="G294" t="s">
        <v>286</v>
      </c>
      <c r="H294" t="s">
        <v>40</v>
      </c>
      <c r="I294" t="s">
        <v>493</v>
      </c>
      <c r="J294" t="s">
        <v>38</v>
      </c>
      <c r="K294" t="s">
        <v>398</v>
      </c>
      <c r="L294" t="s">
        <v>38</v>
      </c>
      <c r="M294" t="str">
        <f t="shared" si="19"/>
        <v>Win</v>
      </c>
      <c r="N294" t="s">
        <v>1010</v>
      </c>
      <c r="O294" t="s">
        <v>1001</v>
      </c>
      <c r="P294" t="s">
        <v>1001</v>
      </c>
    </row>
    <row r="295" spans="1:16" x14ac:dyDescent="0.3">
      <c r="A295" t="s">
        <v>872</v>
      </c>
      <c r="B295" s="1">
        <v>41565</v>
      </c>
      <c r="C295" s="1" t="str">
        <f t="shared" si="16"/>
        <v>Friday</v>
      </c>
      <c r="D295" s="1" t="str">
        <f t="shared" si="17"/>
        <v>October</v>
      </c>
      <c r="E295">
        <f t="shared" si="18"/>
        <v>2013</v>
      </c>
      <c r="F295" t="s">
        <v>492</v>
      </c>
      <c r="G295" t="s">
        <v>286</v>
      </c>
      <c r="H295" t="s">
        <v>42</v>
      </c>
      <c r="I295" t="s">
        <v>493</v>
      </c>
      <c r="J295" t="s">
        <v>38</v>
      </c>
      <c r="K295" t="s">
        <v>149</v>
      </c>
      <c r="L295" t="s">
        <v>38</v>
      </c>
      <c r="M295" t="str">
        <f t="shared" si="19"/>
        <v>Win</v>
      </c>
      <c r="N295" t="s">
        <v>1015</v>
      </c>
      <c r="O295" t="s">
        <v>385</v>
      </c>
      <c r="P295" t="s">
        <v>1007</v>
      </c>
    </row>
    <row r="296" spans="1:16" x14ac:dyDescent="0.3">
      <c r="A296" t="s">
        <v>873</v>
      </c>
      <c r="B296" s="1">
        <v>41566</v>
      </c>
      <c r="C296" s="1" t="str">
        <f t="shared" si="16"/>
        <v>Saturday</v>
      </c>
      <c r="D296" s="1" t="str">
        <f t="shared" si="17"/>
        <v>October</v>
      </c>
      <c r="E296">
        <f t="shared" si="18"/>
        <v>2013</v>
      </c>
      <c r="F296" t="s">
        <v>492</v>
      </c>
      <c r="G296" t="s">
        <v>286</v>
      </c>
      <c r="H296" t="s">
        <v>46</v>
      </c>
      <c r="I296" t="s">
        <v>493</v>
      </c>
      <c r="J296" t="s">
        <v>38</v>
      </c>
      <c r="K296" t="s">
        <v>120</v>
      </c>
      <c r="L296" t="s">
        <v>38</v>
      </c>
      <c r="M296" t="str">
        <f t="shared" si="19"/>
        <v>Win</v>
      </c>
      <c r="N296" t="s">
        <v>1000</v>
      </c>
      <c r="O296" t="s">
        <v>1012</v>
      </c>
      <c r="P296" t="s">
        <v>1002</v>
      </c>
    </row>
    <row r="297" spans="1:16" x14ac:dyDescent="0.3">
      <c r="A297" t="s">
        <v>874</v>
      </c>
      <c r="B297" s="1">
        <v>41567</v>
      </c>
      <c r="C297" s="1" t="str">
        <f t="shared" si="16"/>
        <v>Sunday</v>
      </c>
      <c r="D297" s="1" t="str">
        <f t="shared" si="17"/>
        <v>October</v>
      </c>
      <c r="E297">
        <f t="shared" si="18"/>
        <v>2013</v>
      </c>
      <c r="F297" t="s">
        <v>492</v>
      </c>
      <c r="G297" t="s">
        <v>286</v>
      </c>
      <c r="H297" t="s">
        <v>47</v>
      </c>
      <c r="I297" t="s">
        <v>493</v>
      </c>
      <c r="J297" t="s">
        <v>38</v>
      </c>
      <c r="K297" t="s">
        <v>253</v>
      </c>
      <c r="L297" t="s">
        <v>253</v>
      </c>
      <c r="M297" t="str">
        <f t="shared" si="19"/>
        <v>Loss</v>
      </c>
      <c r="N297" t="s">
        <v>1017</v>
      </c>
      <c r="O297" t="s">
        <v>1001</v>
      </c>
      <c r="P297" t="s">
        <v>1001</v>
      </c>
    </row>
    <row r="298" spans="1:16" x14ac:dyDescent="0.3">
      <c r="A298" t="s">
        <v>875</v>
      </c>
      <c r="B298" s="1">
        <v>41569</v>
      </c>
      <c r="C298" s="1" t="str">
        <f t="shared" si="16"/>
        <v>Tuesday</v>
      </c>
      <c r="D298" s="1" t="str">
        <f t="shared" si="17"/>
        <v>October</v>
      </c>
      <c r="E298">
        <f t="shared" si="18"/>
        <v>2013</v>
      </c>
      <c r="F298" t="s">
        <v>496</v>
      </c>
      <c r="G298" t="s">
        <v>1</v>
      </c>
      <c r="H298" t="s">
        <v>17</v>
      </c>
      <c r="I298" t="s">
        <v>354</v>
      </c>
      <c r="J298" t="s">
        <v>38</v>
      </c>
      <c r="K298" t="s">
        <v>61</v>
      </c>
      <c r="L298" t="s">
        <v>38</v>
      </c>
      <c r="M298" t="str">
        <f t="shared" si="19"/>
        <v>Win</v>
      </c>
      <c r="N298" t="s">
        <v>522</v>
      </c>
      <c r="O298" t="s">
        <v>1001</v>
      </c>
      <c r="P298" t="s">
        <v>1001</v>
      </c>
    </row>
    <row r="299" spans="1:16" x14ac:dyDescent="0.3">
      <c r="A299" t="s">
        <v>876</v>
      </c>
      <c r="B299" s="1">
        <v>41571</v>
      </c>
      <c r="C299" s="1" t="str">
        <f t="shared" si="16"/>
        <v>Thursday</v>
      </c>
      <c r="D299" s="1" t="str">
        <f t="shared" si="17"/>
        <v>October</v>
      </c>
      <c r="E299">
        <f t="shared" si="18"/>
        <v>2013</v>
      </c>
      <c r="F299" t="s">
        <v>496</v>
      </c>
      <c r="G299" t="s">
        <v>1</v>
      </c>
      <c r="H299" t="s">
        <v>40</v>
      </c>
      <c r="I299" t="s">
        <v>354</v>
      </c>
      <c r="J299" t="s">
        <v>38</v>
      </c>
      <c r="K299" t="s">
        <v>79</v>
      </c>
      <c r="L299" t="s">
        <v>38</v>
      </c>
      <c r="M299" t="str">
        <f t="shared" si="19"/>
        <v>Win</v>
      </c>
      <c r="N299" t="s">
        <v>385</v>
      </c>
      <c r="O299" t="s">
        <v>1001</v>
      </c>
      <c r="P299" t="s">
        <v>1001</v>
      </c>
    </row>
    <row r="300" spans="1:16" x14ac:dyDescent="0.3">
      <c r="A300" t="s">
        <v>877</v>
      </c>
      <c r="B300" s="1">
        <v>41572</v>
      </c>
      <c r="C300" s="1" t="str">
        <f t="shared" si="16"/>
        <v>Friday</v>
      </c>
      <c r="D300" s="1" t="str">
        <f t="shared" si="17"/>
        <v>October</v>
      </c>
      <c r="E300">
        <f t="shared" si="18"/>
        <v>2013</v>
      </c>
      <c r="F300" t="s">
        <v>496</v>
      </c>
      <c r="G300" t="s">
        <v>1</v>
      </c>
      <c r="H300" t="s">
        <v>42</v>
      </c>
      <c r="I300" t="s">
        <v>354</v>
      </c>
      <c r="J300" t="s">
        <v>38</v>
      </c>
      <c r="K300" t="s">
        <v>23</v>
      </c>
      <c r="L300" t="s">
        <v>38</v>
      </c>
      <c r="M300" t="str">
        <f t="shared" si="19"/>
        <v>Win</v>
      </c>
      <c r="N300" t="s">
        <v>203</v>
      </c>
      <c r="O300" t="s">
        <v>1001</v>
      </c>
      <c r="P300" t="s">
        <v>1001</v>
      </c>
    </row>
    <row r="301" spans="1:16" x14ac:dyDescent="0.3">
      <c r="A301" t="s">
        <v>878</v>
      </c>
      <c r="B301" s="1">
        <v>41573</v>
      </c>
      <c r="C301" s="1" t="str">
        <f t="shared" si="16"/>
        <v>Saturday</v>
      </c>
      <c r="D301" s="1" t="str">
        <f t="shared" si="17"/>
        <v>October</v>
      </c>
      <c r="E301">
        <f t="shared" si="18"/>
        <v>2013</v>
      </c>
      <c r="F301" t="s">
        <v>496</v>
      </c>
      <c r="G301" t="s">
        <v>1</v>
      </c>
      <c r="H301" t="s">
        <v>46</v>
      </c>
      <c r="I301" t="s">
        <v>354</v>
      </c>
      <c r="J301" t="s">
        <v>38</v>
      </c>
      <c r="K301" t="s">
        <v>135</v>
      </c>
      <c r="L301" t="s">
        <v>135</v>
      </c>
      <c r="M301" t="str">
        <f t="shared" si="19"/>
        <v>Loss</v>
      </c>
      <c r="N301" t="s">
        <v>524</v>
      </c>
      <c r="O301" t="s">
        <v>505</v>
      </c>
      <c r="P301" t="s">
        <v>1014</v>
      </c>
    </row>
    <row r="302" spans="1:16" x14ac:dyDescent="0.3">
      <c r="A302" t="s">
        <v>879</v>
      </c>
      <c r="B302" s="1">
        <v>41598</v>
      </c>
      <c r="C302" s="1" t="str">
        <f t="shared" si="16"/>
        <v>Wednesday</v>
      </c>
      <c r="D302" s="1" t="str">
        <f t="shared" si="17"/>
        <v>November</v>
      </c>
      <c r="E302">
        <f t="shared" si="18"/>
        <v>2013</v>
      </c>
      <c r="F302" t="s">
        <v>498</v>
      </c>
      <c r="G302" t="s">
        <v>1</v>
      </c>
      <c r="H302" t="s">
        <v>17</v>
      </c>
      <c r="I302" t="s">
        <v>356</v>
      </c>
      <c r="J302" t="s">
        <v>38</v>
      </c>
      <c r="K302" t="s">
        <v>408</v>
      </c>
      <c r="L302" t="s">
        <v>38</v>
      </c>
      <c r="M302" t="str">
        <f t="shared" si="19"/>
        <v>Win</v>
      </c>
      <c r="N302" t="s">
        <v>385</v>
      </c>
      <c r="O302" t="s">
        <v>1001</v>
      </c>
      <c r="P302" t="s">
        <v>1001</v>
      </c>
    </row>
    <row r="303" spans="1:16" x14ac:dyDescent="0.3">
      <c r="A303" t="s">
        <v>880</v>
      </c>
      <c r="B303" s="1">
        <v>41599</v>
      </c>
      <c r="C303" s="1" t="str">
        <f t="shared" si="16"/>
        <v>Thursday</v>
      </c>
      <c r="D303" s="1" t="str">
        <f t="shared" si="17"/>
        <v>November</v>
      </c>
      <c r="E303">
        <f t="shared" si="18"/>
        <v>2013</v>
      </c>
      <c r="F303" t="s">
        <v>498</v>
      </c>
      <c r="G303" t="s">
        <v>1</v>
      </c>
      <c r="H303" t="s">
        <v>40</v>
      </c>
      <c r="I303" t="s">
        <v>356</v>
      </c>
      <c r="J303" t="s">
        <v>38</v>
      </c>
      <c r="K303" t="s">
        <v>6</v>
      </c>
      <c r="L303" t="s">
        <v>38</v>
      </c>
      <c r="M303" t="str">
        <f t="shared" si="19"/>
        <v>Win</v>
      </c>
      <c r="N303" t="s">
        <v>998</v>
      </c>
      <c r="O303" t="s">
        <v>1001</v>
      </c>
      <c r="P303" t="s">
        <v>1001</v>
      </c>
    </row>
    <row r="304" spans="1:16" x14ac:dyDescent="0.3">
      <c r="A304" t="s">
        <v>881</v>
      </c>
      <c r="B304" s="1">
        <v>41600</v>
      </c>
      <c r="C304" s="1" t="str">
        <f t="shared" si="16"/>
        <v>Friday</v>
      </c>
      <c r="D304" s="1" t="str">
        <f t="shared" si="17"/>
        <v>November</v>
      </c>
      <c r="E304">
        <f t="shared" si="18"/>
        <v>2013</v>
      </c>
      <c r="F304" t="s">
        <v>498</v>
      </c>
      <c r="G304" t="s">
        <v>1</v>
      </c>
      <c r="H304" t="s">
        <v>42</v>
      </c>
      <c r="I304" t="s">
        <v>356</v>
      </c>
      <c r="J304" t="s">
        <v>38</v>
      </c>
      <c r="K304" t="s">
        <v>149</v>
      </c>
      <c r="L304" t="s">
        <v>38</v>
      </c>
      <c r="M304" t="str">
        <f t="shared" si="19"/>
        <v>Win</v>
      </c>
      <c r="N304" t="s">
        <v>1004</v>
      </c>
      <c r="O304" t="s">
        <v>1001</v>
      </c>
      <c r="P304" t="s">
        <v>1001</v>
      </c>
    </row>
    <row r="305" spans="1:16" x14ac:dyDescent="0.3">
      <c r="A305" t="s">
        <v>882</v>
      </c>
      <c r="B305" s="1">
        <v>41601</v>
      </c>
      <c r="C305" s="1" t="str">
        <f t="shared" si="16"/>
        <v>Saturday</v>
      </c>
      <c r="D305" s="1" t="str">
        <f t="shared" si="17"/>
        <v>November</v>
      </c>
      <c r="E305">
        <f t="shared" si="18"/>
        <v>2013</v>
      </c>
      <c r="F305" t="s">
        <v>498</v>
      </c>
      <c r="G305" t="s">
        <v>1</v>
      </c>
      <c r="H305" t="s">
        <v>46</v>
      </c>
      <c r="I305" t="s">
        <v>356</v>
      </c>
      <c r="J305" t="s">
        <v>38</v>
      </c>
      <c r="K305" t="s">
        <v>23</v>
      </c>
      <c r="L305" t="s">
        <v>38</v>
      </c>
      <c r="M305" t="str">
        <f t="shared" si="19"/>
        <v>Win</v>
      </c>
      <c r="N305" t="s">
        <v>998</v>
      </c>
      <c r="O305" t="s">
        <v>1001</v>
      </c>
      <c r="P305" t="s">
        <v>1001</v>
      </c>
    </row>
    <row r="306" spans="1:16" x14ac:dyDescent="0.3">
      <c r="A306" t="s">
        <v>883</v>
      </c>
      <c r="B306" s="1">
        <v>41602</v>
      </c>
      <c r="C306" s="1" t="str">
        <f t="shared" si="16"/>
        <v>Sunday</v>
      </c>
      <c r="D306" s="1" t="str">
        <f t="shared" si="17"/>
        <v>November</v>
      </c>
      <c r="E306">
        <f t="shared" si="18"/>
        <v>2013</v>
      </c>
      <c r="F306" t="s">
        <v>498</v>
      </c>
      <c r="G306" t="s">
        <v>1</v>
      </c>
      <c r="H306" t="s">
        <v>47</v>
      </c>
      <c r="I306" t="s">
        <v>356</v>
      </c>
      <c r="J306" t="s">
        <v>38</v>
      </c>
      <c r="K306" t="s">
        <v>3</v>
      </c>
      <c r="L306" t="s">
        <v>38</v>
      </c>
      <c r="M306" t="str">
        <f t="shared" si="19"/>
        <v>Win</v>
      </c>
      <c r="N306" t="s">
        <v>203</v>
      </c>
      <c r="O306" t="s">
        <v>1001</v>
      </c>
      <c r="P306" t="s">
        <v>1001</v>
      </c>
    </row>
    <row r="307" spans="1:16" x14ac:dyDescent="0.3">
      <c r="A307" t="s">
        <v>884</v>
      </c>
      <c r="B307" s="1">
        <v>41619</v>
      </c>
      <c r="C307" s="1" t="str">
        <f t="shared" si="16"/>
        <v>Wednesday</v>
      </c>
      <c r="D307" s="1" t="str">
        <f t="shared" si="17"/>
        <v>December</v>
      </c>
      <c r="E307">
        <f t="shared" si="18"/>
        <v>2013</v>
      </c>
      <c r="F307" t="s">
        <v>499</v>
      </c>
      <c r="G307" t="s">
        <v>286</v>
      </c>
      <c r="H307" t="s">
        <v>287</v>
      </c>
      <c r="I307" t="s">
        <v>500</v>
      </c>
      <c r="J307" t="s">
        <v>38</v>
      </c>
      <c r="K307" t="s">
        <v>338</v>
      </c>
      <c r="L307" t="s">
        <v>38</v>
      </c>
      <c r="M307" t="str">
        <f t="shared" si="19"/>
        <v>Win</v>
      </c>
      <c r="N307" t="s">
        <v>1005</v>
      </c>
      <c r="O307" t="s">
        <v>1001</v>
      </c>
      <c r="P307" t="s">
        <v>1001</v>
      </c>
    </row>
    <row r="308" spans="1:16" x14ac:dyDescent="0.3">
      <c r="A308" t="s">
        <v>885</v>
      </c>
      <c r="B308" s="1">
        <v>41620</v>
      </c>
      <c r="C308" s="1" t="str">
        <f t="shared" si="16"/>
        <v>Thursday</v>
      </c>
      <c r="D308" s="1" t="str">
        <f t="shared" si="17"/>
        <v>December</v>
      </c>
      <c r="E308">
        <f t="shared" si="18"/>
        <v>2013</v>
      </c>
      <c r="F308" t="s">
        <v>499</v>
      </c>
      <c r="G308" t="s">
        <v>286</v>
      </c>
      <c r="H308" t="s">
        <v>288</v>
      </c>
      <c r="I308" t="s">
        <v>500</v>
      </c>
      <c r="J308" t="s">
        <v>38</v>
      </c>
      <c r="K308" t="s">
        <v>23</v>
      </c>
      <c r="L308" t="s">
        <v>38</v>
      </c>
      <c r="M308" t="str">
        <f t="shared" si="19"/>
        <v>Win</v>
      </c>
      <c r="N308" t="s">
        <v>1012</v>
      </c>
      <c r="O308" t="s">
        <v>1001</v>
      </c>
      <c r="P308" t="s">
        <v>1001</v>
      </c>
    </row>
    <row r="309" spans="1:16" x14ac:dyDescent="0.3">
      <c r="A309" t="s">
        <v>886</v>
      </c>
      <c r="B309" s="1">
        <v>41621</v>
      </c>
      <c r="C309" s="1" t="str">
        <f t="shared" si="16"/>
        <v>Friday</v>
      </c>
      <c r="D309" s="1" t="str">
        <f t="shared" si="17"/>
        <v>December</v>
      </c>
      <c r="E309">
        <f t="shared" si="18"/>
        <v>2013</v>
      </c>
      <c r="F309" t="s">
        <v>499</v>
      </c>
      <c r="G309" t="s">
        <v>286</v>
      </c>
      <c r="H309" t="s">
        <v>289</v>
      </c>
      <c r="I309" t="s">
        <v>500</v>
      </c>
      <c r="J309" t="s">
        <v>38</v>
      </c>
      <c r="K309" t="s">
        <v>149</v>
      </c>
      <c r="L309" t="s">
        <v>38</v>
      </c>
      <c r="M309" t="str">
        <f t="shared" si="19"/>
        <v>Win</v>
      </c>
      <c r="N309" t="s">
        <v>1003</v>
      </c>
      <c r="O309" t="s">
        <v>1001</v>
      </c>
      <c r="P309" t="s">
        <v>1001</v>
      </c>
    </row>
    <row r="310" spans="1:16" x14ac:dyDescent="0.3">
      <c r="A310" t="s">
        <v>887</v>
      </c>
      <c r="B310" s="1">
        <v>41622</v>
      </c>
      <c r="C310" s="1" t="str">
        <f t="shared" si="16"/>
        <v>Saturday</v>
      </c>
      <c r="D310" s="1" t="str">
        <f t="shared" si="17"/>
        <v>December</v>
      </c>
      <c r="E310">
        <f t="shared" si="18"/>
        <v>2013</v>
      </c>
      <c r="F310" t="s">
        <v>499</v>
      </c>
      <c r="G310" t="s">
        <v>286</v>
      </c>
      <c r="H310" t="s">
        <v>46</v>
      </c>
      <c r="I310" t="s">
        <v>500</v>
      </c>
      <c r="J310" t="s">
        <v>38</v>
      </c>
      <c r="K310" t="s">
        <v>149</v>
      </c>
      <c r="L310" t="s">
        <v>38</v>
      </c>
      <c r="M310" t="str">
        <f t="shared" si="19"/>
        <v>Win</v>
      </c>
      <c r="N310" t="s">
        <v>485</v>
      </c>
      <c r="O310" t="s">
        <v>1001</v>
      </c>
      <c r="P310" t="s">
        <v>1001</v>
      </c>
    </row>
    <row r="311" spans="1:16" x14ac:dyDescent="0.3">
      <c r="A311" t="s">
        <v>888</v>
      </c>
      <c r="B311" s="1">
        <v>41623</v>
      </c>
      <c r="C311" s="1" t="str">
        <f t="shared" si="16"/>
        <v>Sunday</v>
      </c>
      <c r="D311" s="1" t="str">
        <f t="shared" si="17"/>
        <v>December</v>
      </c>
      <c r="E311">
        <f t="shared" si="18"/>
        <v>2013</v>
      </c>
      <c r="F311" t="s">
        <v>499</v>
      </c>
      <c r="G311" t="s">
        <v>286</v>
      </c>
      <c r="H311" t="s">
        <v>47</v>
      </c>
      <c r="I311" t="s">
        <v>500</v>
      </c>
      <c r="J311" t="s">
        <v>38</v>
      </c>
      <c r="K311" t="s">
        <v>65</v>
      </c>
      <c r="L311" t="s">
        <v>38</v>
      </c>
      <c r="M311" t="str">
        <f t="shared" si="19"/>
        <v>Win</v>
      </c>
      <c r="N311" t="s">
        <v>1005</v>
      </c>
      <c r="O311" t="s">
        <v>1001</v>
      </c>
      <c r="P311" t="s">
        <v>1001</v>
      </c>
    </row>
    <row r="312" spans="1:16" x14ac:dyDescent="0.3">
      <c r="A312" t="s">
        <v>889</v>
      </c>
      <c r="B312" s="1">
        <v>41647</v>
      </c>
      <c r="C312" s="1" t="str">
        <f t="shared" si="16"/>
        <v>Wednesday</v>
      </c>
      <c r="D312" s="1" t="str">
        <f t="shared" si="17"/>
        <v>January</v>
      </c>
      <c r="E312">
        <f t="shared" si="18"/>
        <v>2014</v>
      </c>
      <c r="F312" t="s">
        <v>501</v>
      </c>
      <c r="G312" t="s">
        <v>1</v>
      </c>
      <c r="H312" t="s">
        <v>17</v>
      </c>
      <c r="I312" t="s">
        <v>502</v>
      </c>
      <c r="J312" t="s">
        <v>38</v>
      </c>
      <c r="K312" t="s">
        <v>51</v>
      </c>
      <c r="L312" t="s">
        <v>38</v>
      </c>
      <c r="M312" t="str">
        <f t="shared" si="19"/>
        <v>Win</v>
      </c>
      <c r="N312" t="s">
        <v>1010</v>
      </c>
      <c r="O312" t="s">
        <v>1001</v>
      </c>
      <c r="P312" t="s">
        <v>1001</v>
      </c>
    </row>
    <row r="313" spans="1:16" x14ac:dyDescent="0.3">
      <c r="A313" t="s">
        <v>890</v>
      </c>
      <c r="B313" s="1">
        <v>41648</v>
      </c>
      <c r="C313" s="1" t="str">
        <f t="shared" si="16"/>
        <v>Thursday</v>
      </c>
      <c r="D313" s="1" t="str">
        <f t="shared" si="17"/>
        <v>January</v>
      </c>
      <c r="E313">
        <f t="shared" si="18"/>
        <v>2014</v>
      </c>
      <c r="F313" t="s">
        <v>501</v>
      </c>
      <c r="G313" t="s">
        <v>1</v>
      </c>
      <c r="H313" t="s">
        <v>40</v>
      </c>
      <c r="I313" t="s">
        <v>502</v>
      </c>
      <c r="J313" t="s">
        <v>38</v>
      </c>
      <c r="K313" t="s">
        <v>158</v>
      </c>
      <c r="L313" t="s">
        <v>38</v>
      </c>
      <c r="M313" t="str">
        <f t="shared" si="19"/>
        <v>Win</v>
      </c>
      <c r="N313" t="s">
        <v>485</v>
      </c>
      <c r="O313" t="s">
        <v>1001</v>
      </c>
      <c r="P313" t="s">
        <v>1001</v>
      </c>
    </row>
    <row r="314" spans="1:16" x14ac:dyDescent="0.3">
      <c r="A314" t="s">
        <v>891</v>
      </c>
      <c r="B314" s="1">
        <v>41649</v>
      </c>
      <c r="C314" s="1" t="str">
        <f t="shared" si="16"/>
        <v>Friday</v>
      </c>
      <c r="D314" s="1" t="str">
        <f t="shared" si="17"/>
        <v>January</v>
      </c>
      <c r="E314">
        <f t="shared" si="18"/>
        <v>2014</v>
      </c>
      <c r="F314" t="s">
        <v>501</v>
      </c>
      <c r="G314" t="s">
        <v>1</v>
      </c>
      <c r="H314" t="s">
        <v>42</v>
      </c>
      <c r="I314" t="s">
        <v>502</v>
      </c>
      <c r="J314" t="s">
        <v>38</v>
      </c>
      <c r="K314" t="s">
        <v>120</v>
      </c>
      <c r="L314" t="s">
        <v>38</v>
      </c>
      <c r="M314" t="str">
        <f t="shared" si="19"/>
        <v>Win</v>
      </c>
      <c r="N314" t="s">
        <v>1011</v>
      </c>
      <c r="O314" t="s">
        <v>1001</v>
      </c>
      <c r="P314" t="s">
        <v>1001</v>
      </c>
    </row>
    <row r="315" spans="1:16" x14ac:dyDescent="0.3">
      <c r="A315" t="s">
        <v>892</v>
      </c>
      <c r="B315" s="1">
        <v>41650</v>
      </c>
      <c r="C315" s="1" t="str">
        <f t="shared" si="16"/>
        <v>Saturday</v>
      </c>
      <c r="D315" s="1" t="str">
        <f t="shared" si="17"/>
        <v>January</v>
      </c>
      <c r="E315">
        <f t="shared" si="18"/>
        <v>2014</v>
      </c>
      <c r="F315" t="s">
        <v>501</v>
      </c>
      <c r="G315" t="s">
        <v>1</v>
      </c>
      <c r="H315" t="s">
        <v>46</v>
      </c>
      <c r="I315" t="s">
        <v>502</v>
      </c>
      <c r="J315" t="s">
        <v>38</v>
      </c>
      <c r="K315" t="s">
        <v>135</v>
      </c>
      <c r="L315" t="s">
        <v>38</v>
      </c>
      <c r="M315" t="str">
        <f t="shared" si="19"/>
        <v>Win</v>
      </c>
      <c r="N315" t="s">
        <v>524</v>
      </c>
      <c r="O315" t="s">
        <v>1001</v>
      </c>
      <c r="P315" t="s">
        <v>1001</v>
      </c>
    </row>
    <row r="316" spans="1:16" x14ac:dyDescent="0.3">
      <c r="A316" t="s">
        <v>893</v>
      </c>
      <c r="B316" s="1">
        <v>41651</v>
      </c>
      <c r="C316" s="1" t="str">
        <f t="shared" si="16"/>
        <v>Sunday</v>
      </c>
      <c r="D316" s="1" t="str">
        <f t="shared" si="17"/>
        <v>January</v>
      </c>
      <c r="E316">
        <f t="shared" si="18"/>
        <v>2014</v>
      </c>
      <c r="F316" t="s">
        <v>501</v>
      </c>
      <c r="G316" t="s">
        <v>1</v>
      </c>
      <c r="H316" t="s">
        <v>47</v>
      </c>
      <c r="I316" t="s">
        <v>502</v>
      </c>
      <c r="J316" t="s">
        <v>38</v>
      </c>
      <c r="K316" t="s">
        <v>253</v>
      </c>
      <c r="L316" t="s">
        <v>253</v>
      </c>
      <c r="M316" t="str">
        <f t="shared" si="19"/>
        <v>Loss</v>
      </c>
      <c r="N316" t="s">
        <v>552</v>
      </c>
      <c r="O316" t="s">
        <v>1001</v>
      </c>
      <c r="P316" t="s">
        <v>1001</v>
      </c>
    </row>
    <row r="317" spans="1:16" x14ac:dyDescent="0.3">
      <c r="A317" t="s">
        <v>894</v>
      </c>
      <c r="B317" s="1">
        <v>41654</v>
      </c>
      <c r="C317" s="1" t="str">
        <f t="shared" si="16"/>
        <v>Wednesday</v>
      </c>
      <c r="D317" s="1" t="str">
        <f t="shared" si="17"/>
        <v>January</v>
      </c>
      <c r="E317">
        <f t="shared" si="18"/>
        <v>2014</v>
      </c>
      <c r="F317" t="s">
        <v>503</v>
      </c>
      <c r="G317" t="s">
        <v>286</v>
      </c>
      <c r="H317" t="s">
        <v>17</v>
      </c>
      <c r="I317" t="s">
        <v>504</v>
      </c>
      <c r="J317" t="s">
        <v>38</v>
      </c>
      <c r="K317" t="s">
        <v>64</v>
      </c>
      <c r="L317" t="s">
        <v>38</v>
      </c>
      <c r="M317" t="str">
        <f t="shared" si="19"/>
        <v>Win</v>
      </c>
      <c r="N317" t="s">
        <v>1006</v>
      </c>
      <c r="O317" t="s">
        <v>1001</v>
      </c>
      <c r="P317" t="s">
        <v>1001</v>
      </c>
    </row>
    <row r="318" spans="1:16" x14ac:dyDescent="0.3">
      <c r="A318" t="s">
        <v>895</v>
      </c>
      <c r="B318" s="1">
        <v>41655</v>
      </c>
      <c r="C318" s="1" t="str">
        <f t="shared" si="16"/>
        <v>Thursday</v>
      </c>
      <c r="D318" s="1" t="str">
        <f t="shared" si="17"/>
        <v>January</v>
      </c>
      <c r="E318">
        <f t="shared" si="18"/>
        <v>2014</v>
      </c>
      <c r="F318" t="s">
        <v>503</v>
      </c>
      <c r="G318" t="s">
        <v>286</v>
      </c>
      <c r="H318" t="s">
        <v>40</v>
      </c>
      <c r="I318" t="s">
        <v>504</v>
      </c>
      <c r="J318" t="s">
        <v>38</v>
      </c>
      <c r="K318" t="s">
        <v>338</v>
      </c>
      <c r="L318" t="s">
        <v>38</v>
      </c>
      <c r="M318" t="str">
        <f t="shared" si="19"/>
        <v>Win</v>
      </c>
      <c r="N318" t="s">
        <v>524</v>
      </c>
      <c r="O318" t="s">
        <v>1001</v>
      </c>
      <c r="P318" t="s">
        <v>1001</v>
      </c>
    </row>
    <row r="319" spans="1:16" x14ac:dyDescent="0.3">
      <c r="A319" t="s">
        <v>896</v>
      </c>
      <c r="B319" s="1">
        <v>41656</v>
      </c>
      <c r="C319" s="1" t="str">
        <f t="shared" si="16"/>
        <v>Friday</v>
      </c>
      <c r="D319" s="1" t="str">
        <f t="shared" si="17"/>
        <v>January</v>
      </c>
      <c r="E319">
        <f t="shared" si="18"/>
        <v>2014</v>
      </c>
      <c r="F319" t="s">
        <v>503</v>
      </c>
      <c r="G319" t="s">
        <v>286</v>
      </c>
      <c r="H319" t="s">
        <v>42</v>
      </c>
      <c r="I319" t="s">
        <v>504</v>
      </c>
      <c r="J319" t="s">
        <v>38</v>
      </c>
      <c r="K319" t="s">
        <v>120</v>
      </c>
      <c r="L319" t="s">
        <v>38</v>
      </c>
      <c r="M319" t="str">
        <f t="shared" si="19"/>
        <v>Win</v>
      </c>
      <c r="N319" t="s">
        <v>1011</v>
      </c>
      <c r="O319" t="s">
        <v>1001</v>
      </c>
      <c r="P319" t="s">
        <v>1001</v>
      </c>
    </row>
    <row r="320" spans="1:16" x14ac:dyDescent="0.3">
      <c r="A320" t="s">
        <v>897</v>
      </c>
      <c r="B320" s="1">
        <v>41657</v>
      </c>
      <c r="C320" s="1" t="str">
        <f t="shared" si="16"/>
        <v>Saturday</v>
      </c>
      <c r="D320" s="1" t="str">
        <f t="shared" si="17"/>
        <v>January</v>
      </c>
      <c r="E320">
        <f t="shared" si="18"/>
        <v>2014</v>
      </c>
      <c r="F320" t="s">
        <v>503</v>
      </c>
      <c r="G320" t="s">
        <v>286</v>
      </c>
      <c r="H320" t="s">
        <v>46</v>
      </c>
      <c r="I320" t="s">
        <v>504</v>
      </c>
      <c r="J320" t="s">
        <v>38</v>
      </c>
      <c r="K320" t="s">
        <v>149</v>
      </c>
      <c r="L320" t="s">
        <v>38</v>
      </c>
      <c r="M320" t="str">
        <f t="shared" si="19"/>
        <v>Win</v>
      </c>
      <c r="N320" t="s">
        <v>203</v>
      </c>
      <c r="O320" t="s">
        <v>1001</v>
      </c>
      <c r="P320" t="s">
        <v>1001</v>
      </c>
    </row>
    <row r="321" spans="1:16" x14ac:dyDescent="0.3">
      <c r="A321" t="s">
        <v>898</v>
      </c>
      <c r="B321" s="1">
        <v>41658</v>
      </c>
      <c r="C321" s="1" t="str">
        <f t="shared" si="16"/>
        <v>Sunday</v>
      </c>
      <c r="D321" s="1" t="str">
        <f t="shared" si="17"/>
        <v>January</v>
      </c>
      <c r="E321">
        <f t="shared" si="18"/>
        <v>2014</v>
      </c>
      <c r="F321" t="s">
        <v>503</v>
      </c>
      <c r="G321" t="s">
        <v>286</v>
      </c>
      <c r="H321" t="s">
        <v>47</v>
      </c>
      <c r="I321" t="s">
        <v>504</v>
      </c>
      <c r="J321" t="s">
        <v>38</v>
      </c>
      <c r="K321" t="s">
        <v>65</v>
      </c>
      <c r="L321" t="s">
        <v>38</v>
      </c>
      <c r="M321" t="str">
        <f t="shared" si="19"/>
        <v>Win</v>
      </c>
      <c r="N321" t="s">
        <v>179</v>
      </c>
      <c r="O321" t="s">
        <v>1001</v>
      </c>
      <c r="P321" t="s">
        <v>1001</v>
      </c>
    </row>
    <row r="322" spans="1:16" x14ac:dyDescent="0.3">
      <c r="A322" t="s">
        <v>899</v>
      </c>
      <c r="B322" s="1">
        <v>41703</v>
      </c>
      <c r="C322" s="1" t="str">
        <f t="shared" si="16"/>
        <v>Wednesday</v>
      </c>
      <c r="D322" s="1" t="str">
        <f t="shared" si="17"/>
        <v>March</v>
      </c>
      <c r="E322">
        <f t="shared" si="18"/>
        <v>2014</v>
      </c>
      <c r="F322" t="s">
        <v>507</v>
      </c>
      <c r="G322" t="s">
        <v>286</v>
      </c>
      <c r="H322" t="s">
        <v>17</v>
      </c>
      <c r="I322" t="s">
        <v>374</v>
      </c>
      <c r="J322" t="s">
        <v>38</v>
      </c>
      <c r="K322" t="s">
        <v>227</v>
      </c>
      <c r="L322" t="s">
        <v>38</v>
      </c>
      <c r="M322" t="str">
        <f t="shared" si="19"/>
        <v>Win</v>
      </c>
      <c r="N322" t="s">
        <v>1002</v>
      </c>
      <c r="O322" t="s">
        <v>1001</v>
      </c>
      <c r="P322" t="s">
        <v>1001</v>
      </c>
    </row>
    <row r="323" spans="1:16" x14ac:dyDescent="0.3">
      <c r="A323" t="s">
        <v>900</v>
      </c>
      <c r="B323" s="1">
        <v>41704</v>
      </c>
      <c r="C323" s="1" t="str">
        <f t="shared" ref="C323:C386" si="20">TEXT(B323,"dddd")</f>
        <v>Thursday</v>
      </c>
      <c r="D323" s="1" t="str">
        <f t="shared" ref="D323:D386" si="21">TEXT(B323,"mmmm")</f>
        <v>March</v>
      </c>
      <c r="E323">
        <f t="shared" ref="E323:E386" si="22">YEAR(B323)</f>
        <v>2014</v>
      </c>
      <c r="F323" t="s">
        <v>507</v>
      </c>
      <c r="G323" t="s">
        <v>286</v>
      </c>
      <c r="H323" t="s">
        <v>40</v>
      </c>
      <c r="I323" t="s">
        <v>374</v>
      </c>
      <c r="J323" t="s">
        <v>38</v>
      </c>
      <c r="K323" t="s">
        <v>6</v>
      </c>
      <c r="L323" t="s">
        <v>38</v>
      </c>
      <c r="M323" t="str">
        <f t="shared" ref="M323:M386" si="23">IF(L323=J323,"Win","Loss")</f>
        <v>Win</v>
      </c>
      <c r="N323" t="s">
        <v>1012</v>
      </c>
      <c r="O323" t="s">
        <v>1001</v>
      </c>
      <c r="P323" t="s">
        <v>1001</v>
      </c>
    </row>
    <row r="324" spans="1:16" x14ac:dyDescent="0.3">
      <c r="A324" t="s">
        <v>901</v>
      </c>
      <c r="B324" s="1">
        <v>41705</v>
      </c>
      <c r="C324" s="1" t="str">
        <f t="shared" si="20"/>
        <v>Friday</v>
      </c>
      <c r="D324" s="1" t="str">
        <f t="shared" si="21"/>
        <v>March</v>
      </c>
      <c r="E324">
        <f t="shared" si="22"/>
        <v>2014</v>
      </c>
      <c r="F324" t="s">
        <v>507</v>
      </c>
      <c r="G324" t="s">
        <v>286</v>
      </c>
      <c r="H324" t="s">
        <v>42</v>
      </c>
      <c r="I324" t="s">
        <v>374</v>
      </c>
      <c r="J324" t="s">
        <v>38</v>
      </c>
      <c r="K324" t="s">
        <v>405</v>
      </c>
      <c r="L324" t="s">
        <v>38</v>
      </c>
      <c r="M324" t="str">
        <f t="shared" si="23"/>
        <v>Win</v>
      </c>
      <c r="N324" t="s">
        <v>485</v>
      </c>
      <c r="O324" t="s">
        <v>1001</v>
      </c>
      <c r="P324" t="s">
        <v>1001</v>
      </c>
    </row>
    <row r="325" spans="1:16" x14ac:dyDescent="0.3">
      <c r="A325" t="s">
        <v>902</v>
      </c>
      <c r="B325" s="1">
        <v>41706</v>
      </c>
      <c r="C325" s="1" t="str">
        <f t="shared" si="20"/>
        <v>Saturday</v>
      </c>
      <c r="D325" s="1" t="str">
        <f t="shared" si="21"/>
        <v>March</v>
      </c>
      <c r="E325">
        <f t="shared" si="22"/>
        <v>2014</v>
      </c>
      <c r="F325" t="s">
        <v>507</v>
      </c>
      <c r="G325" t="s">
        <v>286</v>
      </c>
      <c r="H325" t="s">
        <v>46</v>
      </c>
      <c r="I325" t="s">
        <v>374</v>
      </c>
      <c r="J325" t="s">
        <v>38</v>
      </c>
      <c r="K325" t="s">
        <v>51</v>
      </c>
      <c r="L325" t="s">
        <v>38</v>
      </c>
      <c r="M325" t="str">
        <f t="shared" si="23"/>
        <v>Win</v>
      </c>
      <c r="N325" t="s">
        <v>552</v>
      </c>
      <c r="O325" t="s">
        <v>179</v>
      </c>
      <c r="P325" t="s">
        <v>1002</v>
      </c>
    </row>
    <row r="326" spans="1:16" x14ac:dyDescent="0.3">
      <c r="A326" t="s">
        <v>903</v>
      </c>
      <c r="B326" s="1">
        <v>41707</v>
      </c>
      <c r="C326" s="1" t="str">
        <f t="shared" si="20"/>
        <v>Sunday</v>
      </c>
      <c r="D326" s="1" t="str">
        <f t="shared" si="21"/>
        <v>March</v>
      </c>
      <c r="E326">
        <f t="shared" si="22"/>
        <v>2014</v>
      </c>
      <c r="F326" t="s">
        <v>507</v>
      </c>
      <c r="G326" t="s">
        <v>286</v>
      </c>
      <c r="H326" t="s">
        <v>47</v>
      </c>
      <c r="I326" t="s">
        <v>374</v>
      </c>
      <c r="J326" t="s">
        <v>38</v>
      </c>
      <c r="K326" t="s">
        <v>253</v>
      </c>
      <c r="L326" t="s">
        <v>38</v>
      </c>
      <c r="M326" t="str">
        <f t="shared" si="23"/>
        <v>Win</v>
      </c>
      <c r="N326" t="s">
        <v>203</v>
      </c>
      <c r="O326" t="s">
        <v>1001</v>
      </c>
      <c r="P326" t="s">
        <v>1001</v>
      </c>
    </row>
    <row r="327" spans="1:16" x14ac:dyDescent="0.3">
      <c r="A327" t="s">
        <v>904</v>
      </c>
      <c r="B327" s="1">
        <v>41731</v>
      </c>
      <c r="C327" s="1" t="str">
        <f t="shared" si="20"/>
        <v>Wednesday</v>
      </c>
      <c r="D327" s="1" t="str">
        <f t="shared" si="21"/>
        <v>April</v>
      </c>
      <c r="E327">
        <f t="shared" si="22"/>
        <v>2014</v>
      </c>
      <c r="F327" t="s">
        <v>508</v>
      </c>
      <c r="G327" t="s">
        <v>1</v>
      </c>
      <c r="H327" t="s">
        <v>17</v>
      </c>
      <c r="I327" t="s">
        <v>378</v>
      </c>
      <c r="J327" t="s">
        <v>38</v>
      </c>
      <c r="K327" t="s">
        <v>315</v>
      </c>
      <c r="L327" t="s">
        <v>38</v>
      </c>
      <c r="M327" t="str">
        <f t="shared" si="23"/>
        <v>Win</v>
      </c>
      <c r="N327" t="s">
        <v>1011</v>
      </c>
      <c r="O327" t="s">
        <v>1001</v>
      </c>
      <c r="P327" t="s">
        <v>1001</v>
      </c>
    </row>
    <row r="328" spans="1:16" x14ac:dyDescent="0.3">
      <c r="A328" t="s">
        <v>905</v>
      </c>
      <c r="B328" s="1">
        <v>41732</v>
      </c>
      <c r="C328" s="1" t="str">
        <f t="shared" si="20"/>
        <v>Thursday</v>
      </c>
      <c r="D328" s="1" t="str">
        <f t="shared" si="21"/>
        <v>April</v>
      </c>
      <c r="E328">
        <f t="shared" si="22"/>
        <v>2014</v>
      </c>
      <c r="F328" t="s">
        <v>508</v>
      </c>
      <c r="G328" t="s">
        <v>1</v>
      </c>
      <c r="H328" t="s">
        <v>40</v>
      </c>
      <c r="I328" t="s">
        <v>378</v>
      </c>
      <c r="J328" t="s">
        <v>38</v>
      </c>
      <c r="K328" t="s">
        <v>255</v>
      </c>
      <c r="L328" t="s">
        <v>38</v>
      </c>
      <c r="M328" t="str">
        <f t="shared" si="23"/>
        <v>Win</v>
      </c>
      <c r="N328" t="s">
        <v>1011</v>
      </c>
      <c r="O328" t="s">
        <v>1001</v>
      </c>
      <c r="P328" t="s">
        <v>1001</v>
      </c>
    </row>
    <row r="329" spans="1:16" x14ac:dyDescent="0.3">
      <c r="A329" t="s">
        <v>906</v>
      </c>
      <c r="B329" s="1">
        <v>41733</v>
      </c>
      <c r="C329" s="1" t="str">
        <f t="shared" si="20"/>
        <v>Friday</v>
      </c>
      <c r="D329" s="1" t="str">
        <f t="shared" si="21"/>
        <v>April</v>
      </c>
      <c r="E329">
        <f t="shared" si="22"/>
        <v>2014</v>
      </c>
      <c r="F329" t="s">
        <v>508</v>
      </c>
      <c r="G329" t="s">
        <v>1</v>
      </c>
      <c r="H329" t="s">
        <v>42</v>
      </c>
      <c r="I329" t="s">
        <v>378</v>
      </c>
      <c r="J329" t="s">
        <v>38</v>
      </c>
      <c r="K329" t="s">
        <v>61</v>
      </c>
      <c r="L329" t="s">
        <v>38</v>
      </c>
      <c r="M329" t="str">
        <f t="shared" si="23"/>
        <v>Win</v>
      </c>
      <c r="N329" t="s">
        <v>1002</v>
      </c>
      <c r="O329" t="s">
        <v>1001</v>
      </c>
      <c r="P329" t="s">
        <v>1001</v>
      </c>
    </row>
    <row r="330" spans="1:16" x14ac:dyDescent="0.3">
      <c r="A330" t="s">
        <v>907</v>
      </c>
      <c r="B330" s="1">
        <v>41734</v>
      </c>
      <c r="C330" s="1" t="str">
        <f t="shared" si="20"/>
        <v>Saturday</v>
      </c>
      <c r="D330" s="1" t="str">
        <f t="shared" si="21"/>
        <v>April</v>
      </c>
      <c r="E330">
        <f t="shared" si="22"/>
        <v>2014</v>
      </c>
      <c r="F330" t="s">
        <v>508</v>
      </c>
      <c r="G330" t="s">
        <v>1</v>
      </c>
      <c r="H330" t="s">
        <v>46</v>
      </c>
      <c r="I330" t="s">
        <v>378</v>
      </c>
      <c r="J330" t="s">
        <v>38</v>
      </c>
      <c r="K330" t="s">
        <v>120</v>
      </c>
      <c r="L330" t="s">
        <v>38</v>
      </c>
      <c r="M330" t="str">
        <f t="shared" si="23"/>
        <v>Win</v>
      </c>
      <c r="N330" t="s">
        <v>524</v>
      </c>
      <c r="O330" t="s">
        <v>409</v>
      </c>
      <c r="P330" t="s">
        <v>485</v>
      </c>
    </row>
    <row r="331" spans="1:16" x14ac:dyDescent="0.3">
      <c r="A331" t="s">
        <v>908</v>
      </c>
      <c r="B331" s="1">
        <v>41735</v>
      </c>
      <c r="C331" s="1" t="str">
        <f t="shared" si="20"/>
        <v>Sunday</v>
      </c>
      <c r="D331" s="1" t="str">
        <f t="shared" si="21"/>
        <v>April</v>
      </c>
      <c r="E331">
        <f t="shared" si="22"/>
        <v>2014</v>
      </c>
      <c r="F331" t="s">
        <v>508</v>
      </c>
      <c r="G331" t="s">
        <v>1</v>
      </c>
      <c r="H331" t="s">
        <v>47</v>
      </c>
      <c r="I331" t="s">
        <v>378</v>
      </c>
      <c r="J331" t="s">
        <v>38</v>
      </c>
      <c r="K331" t="s">
        <v>253</v>
      </c>
      <c r="L331" t="s">
        <v>38</v>
      </c>
      <c r="M331" t="str">
        <f t="shared" si="23"/>
        <v>Win</v>
      </c>
      <c r="N331" t="s">
        <v>203</v>
      </c>
      <c r="O331" t="s">
        <v>1001</v>
      </c>
      <c r="P331" t="s">
        <v>1001</v>
      </c>
    </row>
    <row r="332" spans="1:16" x14ac:dyDescent="0.3">
      <c r="A332" t="s">
        <v>909</v>
      </c>
      <c r="B332" s="1">
        <v>41738</v>
      </c>
      <c r="C332" s="1" t="str">
        <f t="shared" si="20"/>
        <v>Wednesday</v>
      </c>
      <c r="D332" s="1" t="str">
        <f t="shared" si="21"/>
        <v>April</v>
      </c>
      <c r="E332">
        <f t="shared" si="22"/>
        <v>2014</v>
      </c>
      <c r="F332" t="s">
        <v>509</v>
      </c>
      <c r="G332" t="s">
        <v>1</v>
      </c>
      <c r="H332" t="s">
        <v>17</v>
      </c>
      <c r="I332" t="s">
        <v>319</v>
      </c>
      <c r="J332" t="s">
        <v>38</v>
      </c>
      <c r="K332" t="s">
        <v>389</v>
      </c>
      <c r="L332" t="s">
        <v>38</v>
      </c>
      <c r="M332" t="str">
        <f t="shared" si="23"/>
        <v>Win</v>
      </c>
      <c r="N332" t="s">
        <v>524</v>
      </c>
      <c r="O332" t="s">
        <v>1001</v>
      </c>
      <c r="P332" t="s">
        <v>1001</v>
      </c>
    </row>
    <row r="333" spans="1:16" x14ac:dyDescent="0.3">
      <c r="A333" t="s">
        <v>910</v>
      </c>
      <c r="B333" s="1">
        <v>41739</v>
      </c>
      <c r="C333" s="1" t="str">
        <f t="shared" si="20"/>
        <v>Thursday</v>
      </c>
      <c r="D333" s="1" t="str">
        <f t="shared" si="21"/>
        <v>April</v>
      </c>
      <c r="E333">
        <f t="shared" si="22"/>
        <v>2014</v>
      </c>
      <c r="F333" t="s">
        <v>509</v>
      </c>
      <c r="G333" t="s">
        <v>1</v>
      </c>
      <c r="H333" t="s">
        <v>40</v>
      </c>
      <c r="I333" t="s">
        <v>319</v>
      </c>
      <c r="J333" t="s">
        <v>38</v>
      </c>
      <c r="K333" t="s">
        <v>344</v>
      </c>
      <c r="L333" t="s">
        <v>38</v>
      </c>
      <c r="M333" t="str">
        <f t="shared" si="23"/>
        <v>Win</v>
      </c>
      <c r="N333" t="s">
        <v>1010</v>
      </c>
      <c r="O333" t="s">
        <v>1001</v>
      </c>
      <c r="P333" t="s">
        <v>1001</v>
      </c>
    </row>
    <row r="334" spans="1:16" x14ac:dyDescent="0.3">
      <c r="A334" t="s">
        <v>911</v>
      </c>
      <c r="B334" s="1">
        <v>41740</v>
      </c>
      <c r="C334" s="1" t="str">
        <f t="shared" si="20"/>
        <v>Friday</v>
      </c>
      <c r="D334" s="1" t="str">
        <f t="shared" si="21"/>
        <v>April</v>
      </c>
      <c r="E334">
        <f t="shared" si="22"/>
        <v>2014</v>
      </c>
      <c r="F334" t="s">
        <v>509</v>
      </c>
      <c r="G334" t="s">
        <v>1</v>
      </c>
      <c r="H334" t="s">
        <v>42</v>
      </c>
      <c r="I334" t="s">
        <v>319</v>
      </c>
      <c r="J334" t="s">
        <v>38</v>
      </c>
      <c r="K334" t="s">
        <v>227</v>
      </c>
      <c r="L334" t="s">
        <v>38</v>
      </c>
      <c r="M334" t="str">
        <f t="shared" si="23"/>
        <v>Win</v>
      </c>
      <c r="N334" t="s">
        <v>1004</v>
      </c>
      <c r="O334" t="s">
        <v>1001</v>
      </c>
      <c r="P334" t="s">
        <v>1001</v>
      </c>
    </row>
    <row r="335" spans="1:16" x14ac:dyDescent="0.3">
      <c r="A335" t="s">
        <v>912</v>
      </c>
      <c r="B335" s="1">
        <v>41741</v>
      </c>
      <c r="C335" s="1" t="str">
        <f t="shared" si="20"/>
        <v>Saturday</v>
      </c>
      <c r="D335" s="1" t="str">
        <f t="shared" si="21"/>
        <v>April</v>
      </c>
      <c r="E335">
        <f t="shared" si="22"/>
        <v>2014</v>
      </c>
      <c r="F335" t="s">
        <v>509</v>
      </c>
      <c r="G335" t="s">
        <v>1</v>
      </c>
      <c r="H335" t="s">
        <v>46</v>
      </c>
      <c r="I335" t="s">
        <v>319</v>
      </c>
      <c r="J335" t="s">
        <v>38</v>
      </c>
      <c r="K335" t="s">
        <v>408</v>
      </c>
      <c r="L335" t="s">
        <v>38</v>
      </c>
      <c r="M335" t="str">
        <f t="shared" si="23"/>
        <v>Win</v>
      </c>
      <c r="N335" t="s">
        <v>179</v>
      </c>
      <c r="O335" t="s">
        <v>1001</v>
      </c>
      <c r="P335" t="s">
        <v>1001</v>
      </c>
    </row>
    <row r="336" spans="1:16" x14ac:dyDescent="0.3">
      <c r="A336" t="s">
        <v>913</v>
      </c>
      <c r="B336" s="1">
        <v>41742</v>
      </c>
      <c r="C336" s="1" t="str">
        <f t="shared" si="20"/>
        <v>Sunday</v>
      </c>
      <c r="D336" s="1" t="str">
        <f t="shared" si="21"/>
        <v>April</v>
      </c>
      <c r="E336">
        <f t="shared" si="22"/>
        <v>2014</v>
      </c>
      <c r="F336" t="s">
        <v>509</v>
      </c>
      <c r="G336" t="s">
        <v>1</v>
      </c>
      <c r="H336" t="s">
        <v>47</v>
      </c>
      <c r="I336" t="s">
        <v>319</v>
      </c>
      <c r="J336" t="s">
        <v>38</v>
      </c>
      <c r="K336" t="s">
        <v>68</v>
      </c>
      <c r="L336" t="s">
        <v>68</v>
      </c>
      <c r="M336" t="str">
        <f t="shared" si="23"/>
        <v>Loss</v>
      </c>
      <c r="N336" t="s">
        <v>566</v>
      </c>
      <c r="O336" t="s">
        <v>1001</v>
      </c>
      <c r="P336" t="s">
        <v>1001</v>
      </c>
    </row>
    <row r="337" spans="1:16" x14ac:dyDescent="0.3">
      <c r="A337" t="s">
        <v>914</v>
      </c>
      <c r="B337" s="1">
        <v>41801</v>
      </c>
      <c r="C337" s="1" t="str">
        <f t="shared" si="20"/>
        <v>Wednesday</v>
      </c>
      <c r="D337" s="1" t="str">
        <f t="shared" si="21"/>
        <v>June</v>
      </c>
      <c r="E337">
        <f t="shared" si="22"/>
        <v>2014</v>
      </c>
      <c r="F337" t="s">
        <v>510</v>
      </c>
      <c r="G337" t="s">
        <v>1</v>
      </c>
      <c r="H337" t="s">
        <v>17</v>
      </c>
      <c r="I337" t="s">
        <v>348</v>
      </c>
      <c r="J337" t="s">
        <v>38</v>
      </c>
      <c r="K337" t="s">
        <v>225</v>
      </c>
      <c r="L337" t="s">
        <v>38</v>
      </c>
      <c r="M337" t="str">
        <f t="shared" si="23"/>
        <v>Win</v>
      </c>
      <c r="N337" t="s">
        <v>1002</v>
      </c>
      <c r="O337" t="s">
        <v>1001</v>
      </c>
      <c r="P337" t="s">
        <v>1001</v>
      </c>
    </row>
    <row r="338" spans="1:16" x14ac:dyDescent="0.3">
      <c r="A338" t="s">
        <v>915</v>
      </c>
      <c r="B338" s="1">
        <v>41802</v>
      </c>
      <c r="C338" s="1" t="str">
        <f t="shared" si="20"/>
        <v>Thursday</v>
      </c>
      <c r="D338" s="1" t="str">
        <f t="shared" si="21"/>
        <v>June</v>
      </c>
      <c r="E338">
        <f t="shared" si="22"/>
        <v>2014</v>
      </c>
      <c r="F338" t="s">
        <v>510</v>
      </c>
      <c r="G338" t="s">
        <v>1</v>
      </c>
      <c r="H338" t="s">
        <v>40</v>
      </c>
      <c r="I338" t="s">
        <v>348</v>
      </c>
      <c r="J338" t="s">
        <v>38</v>
      </c>
      <c r="K338" t="s">
        <v>158</v>
      </c>
      <c r="L338" t="s">
        <v>38</v>
      </c>
      <c r="M338" t="str">
        <f t="shared" si="23"/>
        <v>Win</v>
      </c>
      <c r="N338" t="s">
        <v>203</v>
      </c>
      <c r="O338" t="s">
        <v>1001</v>
      </c>
      <c r="P338" t="s">
        <v>1001</v>
      </c>
    </row>
    <row r="339" spans="1:16" x14ac:dyDescent="0.3">
      <c r="A339" t="s">
        <v>916</v>
      </c>
      <c r="B339" s="1">
        <v>41803</v>
      </c>
      <c r="C339" s="1" t="str">
        <f t="shared" si="20"/>
        <v>Friday</v>
      </c>
      <c r="D339" s="1" t="str">
        <f t="shared" si="21"/>
        <v>June</v>
      </c>
      <c r="E339">
        <f t="shared" si="22"/>
        <v>2014</v>
      </c>
      <c r="F339" t="s">
        <v>510</v>
      </c>
      <c r="G339" t="s">
        <v>1</v>
      </c>
      <c r="H339" t="s">
        <v>42</v>
      </c>
      <c r="I339" t="s">
        <v>348</v>
      </c>
      <c r="J339" t="s">
        <v>38</v>
      </c>
      <c r="K339" t="s">
        <v>65</v>
      </c>
      <c r="L339" t="s">
        <v>38</v>
      </c>
      <c r="M339" t="str">
        <f t="shared" si="23"/>
        <v>Win</v>
      </c>
      <c r="N339" t="s">
        <v>1002</v>
      </c>
      <c r="O339" t="s">
        <v>1014</v>
      </c>
      <c r="P339" t="s">
        <v>524</v>
      </c>
    </row>
    <row r="340" spans="1:16" x14ac:dyDescent="0.3">
      <c r="A340" t="s">
        <v>917</v>
      </c>
      <c r="B340" s="1">
        <v>41804</v>
      </c>
      <c r="C340" s="1" t="str">
        <f t="shared" si="20"/>
        <v>Saturday</v>
      </c>
      <c r="D340" s="1" t="str">
        <f t="shared" si="21"/>
        <v>June</v>
      </c>
      <c r="E340">
        <f t="shared" si="22"/>
        <v>2014</v>
      </c>
      <c r="F340" t="s">
        <v>510</v>
      </c>
      <c r="G340" t="s">
        <v>1</v>
      </c>
      <c r="H340" t="s">
        <v>46</v>
      </c>
      <c r="I340" t="s">
        <v>348</v>
      </c>
      <c r="J340" t="s">
        <v>38</v>
      </c>
      <c r="K340" t="s">
        <v>135</v>
      </c>
      <c r="L340" t="s">
        <v>38</v>
      </c>
      <c r="M340" t="str">
        <f t="shared" si="23"/>
        <v>Win</v>
      </c>
      <c r="N340" t="s">
        <v>1002</v>
      </c>
      <c r="O340" t="s">
        <v>1001</v>
      </c>
      <c r="P340" t="s">
        <v>1001</v>
      </c>
    </row>
    <row r="341" spans="1:16" x14ac:dyDescent="0.3">
      <c r="A341" t="s">
        <v>918</v>
      </c>
      <c r="B341" s="1">
        <v>41805</v>
      </c>
      <c r="C341" s="1" t="str">
        <f t="shared" si="20"/>
        <v>Sunday</v>
      </c>
      <c r="D341" s="1" t="str">
        <f t="shared" si="21"/>
        <v>June</v>
      </c>
      <c r="E341">
        <f t="shared" si="22"/>
        <v>2014</v>
      </c>
      <c r="F341" t="s">
        <v>510</v>
      </c>
      <c r="G341" t="s">
        <v>1</v>
      </c>
      <c r="H341" t="s">
        <v>47</v>
      </c>
      <c r="I341" t="s">
        <v>348</v>
      </c>
      <c r="J341" t="s">
        <v>38</v>
      </c>
      <c r="K341" t="s">
        <v>220</v>
      </c>
      <c r="L341" t="s">
        <v>38</v>
      </c>
      <c r="M341" t="str">
        <f t="shared" si="23"/>
        <v>Win</v>
      </c>
      <c r="N341" t="s">
        <v>485</v>
      </c>
      <c r="O341" t="s">
        <v>1001</v>
      </c>
      <c r="P341" t="s">
        <v>1001</v>
      </c>
    </row>
    <row r="342" spans="1:16" x14ac:dyDescent="0.3">
      <c r="A342" t="s">
        <v>919</v>
      </c>
      <c r="B342" s="1">
        <v>41808</v>
      </c>
      <c r="C342" s="1" t="str">
        <f t="shared" si="20"/>
        <v>Wednesday</v>
      </c>
      <c r="D342" s="1" t="str">
        <f t="shared" si="21"/>
        <v>June</v>
      </c>
      <c r="E342">
        <f t="shared" si="22"/>
        <v>2014</v>
      </c>
      <c r="F342" t="s">
        <v>512</v>
      </c>
      <c r="G342" t="s">
        <v>286</v>
      </c>
      <c r="H342" t="s">
        <v>17</v>
      </c>
      <c r="I342" t="s">
        <v>322</v>
      </c>
      <c r="J342" t="s">
        <v>38</v>
      </c>
      <c r="K342" t="s">
        <v>3</v>
      </c>
      <c r="L342" t="s">
        <v>38</v>
      </c>
      <c r="M342" t="str">
        <f t="shared" si="23"/>
        <v>Win</v>
      </c>
      <c r="N342" t="s">
        <v>1006</v>
      </c>
      <c r="O342" t="s">
        <v>1001</v>
      </c>
      <c r="P342" t="s">
        <v>1001</v>
      </c>
    </row>
    <row r="343" spans="1:16" x14ac:dyDescent="0.3">
      <c r="A343" t="s">
        <v>920</v>
      </c>
      <c r="B343" s="1">
        <v>41809</v>
      </c>
      <c r="C343" s="1" t="str">
        <f t="shared" si="20"/>
        <v>Thursday</v>
      </c>
      <c r="D343" s="1" t="str">
        <f t="shared" si="21"/>
        <v>June</v>
      </c>
      <c r="E343">
        <f t="shared" si="22"/>
        <v>2014</v>
      </c>
      <c r="F343" t="s">
        <v>512</v>
      </c>
      <c r="G343" t="s">
        <v>286</v>
      </c>
      <c r="H343" t="s">
        <v>40</v>
      </c>
      <c r="I343" t="s">
        <v>322</v>
      </c>
      <c r="J343" t="s">
        <v>38</v>
      </c>
      <c r="K343" t="s">
        <v>155</v>
      </c>
      <c r="L343" t="s">
        <v>38</v>
      </c>
      <c r="M343" t="str">
        <f t="shared" si="23"/>
        <v>Win</v>
      </c>
      <c r="N343" t="s">
        <v>1022</v>
      </c>
      <c r="O343" t="s">
        <v>1001</v>
      </c>
      <c r="P343" t="s">
        <v>1001</v>
      </c>
    </row>
    <row r="344" spans="1:16" x14ac:dyDescent="0.3">
      <c r="A344" t="s">
        <v>921</v>
      </c>
      <c r="B344" s="1">
        <v>41810</v>
      </c>
      <c r="C344" s="1" t="str">
        <f t="shared" si="20"/>
        <v>Friday</v>
      </c>
      <c r="D344" s="1" t="str">
        <f t="shared" si="21"/>
        <v>June</v>
      </c>
      <c r="E344">
        <f t="shared" si="22"/>
        <v>2014</v>
      </c>
      <c r="F344" t="s">
        <v>512</v>
      </c>
      <c r="G344" t="s">
        <v>286</v>
      </c>
      <c r="H344" t="s">
        <v>42</v>
      </c>
      <c r="I344" t="s">
        <v>322</v>
      </c>
      <c r="J344" t="s">
        <v>38</v>
      </c>
      <c r="K344" t="s">
        <v>64</v>
      </c>
      <c r="L344" t="s">
        <v>38</v>
      </c>
      <c r="M344" t="str">
        <f t="shared" si="23"/>
        <v>Win</v>
      </c>
      <c r="N344" t="s">
        <v>385</v>
      </c>
      <c r="O344" t="s">
        <v>1001</v>
      </c>
      <c r="P344" t="s">
        <v>1001</v>
      </c>
    </row>
    <row r="345" spans="1:16" x14ac:dyDescent="0.3">
      <c r="A345" t="s">
        <v>922</v>
      </c>
      <c r="B345" s="1">
        <v>41811</v>
      </c>
      <c r="C345" s="1" t="str">
        <f t="shared" si="20"/>
        <v>Saturday</v>
      </c>
      <c r="D345" s="1" t="str">
        <f t="shared" si="21"/>
        <v>June</v>
      </c>
      <c r="E345">
        <f t="shared" si="22"/>
        <v>2014</v>
      </c>
      <c r="F345" t="s">
        <v>512</v>
      </c>
      <c r="G345" t="s">
        <v>286</v>
      </c>
      <c r="H345" t="s">
        <v>46</v>
      </c>
      <c r="I345" t="s">
        <v>322</v>
      </c>
      <c r="J345" t="s">
        <v>38</v>
      </c>
      <c r="K345" t="s">
        <v>135</v>
      </c>
      <c r="L345" t="s">
        <v>135</v>
      </c>
      <c r="M345" t="str">
        <f t="shared" si="23"/>
        <v>Loss</v>
      </c>
      <c r="N345" t="s">
        <v>505</v>
      </c>
      <c r="O345" t="s">
        <v>1002</v>
      </c>
      <c r="P345" t="s">
        <v>505</v>
      </c>
    </row>
    <row r="346" spans="1:16" x14ac:dyDescent="0.3">
      <c r="A346" t="s">
        <v>923</v>
      </c>
      <c r="B346" s="1">
        <v>41876</v>
      </c>
      <c r="C346" s="1" t="str">
        <f t="shared" si="20"/>
        <v>Monday</v>
      </c>
      <c r="D346" s="1" t="str">
        <f t="shared" si="21"/>
        <v>August</v>
      </c>
      <c r="E346">
        <f t="shared" si="22"/>
        <v>2014</v>
      </c>
      <c r="F346" t="s">
        <v>516</v>
      </c>
      <c r="G346" t="s">
        <v>425</v>
      </c>
      <c r="H346" t="s">
        <v>222</v>
      </c>
      <c r="I346" t="s">
        <v>517</v>
      </c>
      <c r="J346" t="s">
        <v>38</v>
      </c>
      <c r="K346" t="s">
        <v>298</v>
      </c>
      <c r="L346" t="s">
        <v>38</v>
      </c>
      <c r="M346" t="str">
        <f t="shared" si="23"/>
        <v>Win</v>
      </c>
      <c r="N346" t="s">
        <v>1010</v>
      </c>
      <c r="O346" t="s">
        <v>1001</v>
      </c>
      <c r="P346" t="s">
        <v>1001</v>
      </c>
    </row>
    <row r="347" spans="1:16" x14ac:dyDescent="0.3">
      <c r="A347" t="s">
        <v>924</v>
      </c>
      <c r="B347" s="1">
        <v>41878</v>
      </c>
      <c r="C347" s="1" t="str">
        <f t="shared" si="20"/>
        <v>Wednesday</v>
      </c>
      <c r="D347" s="1" t="str">
        <f t="shared" si="21"/>
        <v>August</v>
      </c>
      <c r="E347">
        <f t="shared" si="22"/>
        <v>2014</v>
      </c>
      <c r="F347" t="s">
        <v>516</v>
      </c>
      <c r="G347" t="s">
        <v>425</v>
      </c>
      <c r="H347" t="s">
        <v>17</v>
      </c>
      <c r="I347" t="s">
        <v>517</v>
      </c>
      <c r="J347" t="s">
        <v>38</v>
      </c>
      <c r="K347" t="s">
        <v>262</v>
      </c>
      <c r="L347" t="s">
        <v>38</v>
      </c>
      <c r="M347" t="str">
        <f t="shared" si="23"/>
        <v>Win</v>
      </c>
      <c r="N347" t="s">
        <v>998</v>
      </c>
      <c r="O347" t="s">
        <v>1001</v>
      </c>
      <c r="P347" t="s">
        <v>1001</v>
      </c>
    </row>
    <row r="348" spans="1:16" x14ac:dyDescent="0.3">
      <c r="A348" t="s">
        <v>925</v>
      </c>
      <c r="B348" s="1">
        <v>41879</v>
      </c>
      <c r="C348" s="1" t="str">
        <f t="shared" si="20"/>
        <v>Thursday</v>
      </c>
      <c r="D348" s="1" t="str">
        <f t="shared" si="21"/>
        <v>August</v>
      </c>
      <c r="E348">
        <f t="shared" si="22"/>
        <v>2014</v>
      </c>
      <c r="F348" t="s">
        <v>516</v>
      </c>
      <c r="G348" t="s">
        <v>425</v>
      </c>
      <c r="H348" t="s">
        <v>40</v>
      </c>
      <c r="I348" t="s">
        <v>517</v>
      </c>
      <c r="J348" t="s">
        <v>38</v>
      </c>
      <c r="K348" t="s">
        <v>69</v>
      </c>
      <c r="L348" t="s">
        <v>38</v>
      </c>
      <c r="M348" t="str">
        <f t="shared" si="23"/>
        <v>Win</v>
      </c>
      <c r="N348" t="s">
        <v>1010</v>
      </c>
      <c r="O348" t="s">
        <v>1001</v>
      </c>
      <c r="P348" t="s">
        <v>1001</v>
      </c>
    </row>
    <row r="349" spans="1:16" x14ac:dyDescent="0.3">
      <c r="A349" t="s">
        <v>926</v>
      </c>
      <c r="B349" s="1">
        <v>41880</v>
      </c>
      <c r="C349" s="1" t="str">
        <f t="shared" si="20"/>
        <v>Friday</v>
      </c>
      <c r="D349" s="1" t="str">
        <f t="shared" si="21"/>
        <v>August</v>
      </c>
      <c r="E349">
        <f t="shared" si="22"/>
        <v>2014</v>
      </c>
      <c r="F349" t="s">
        <v>516</v>
      </c>
      <c r="G349" t="s">
        <v>425</v>
      </c>
      <c r="H349" t="s">
        <v>42</v>
      </c>
      <c r="I349" t="s">
        <v>517</v>
      </c>
      <c r="J349" t="s">
        <v>38</v>
      </c>
      <c r="K349" t="s">
        <v>338</v>
      </c>
      <c r="L349" t="s">
        <v>38</v>
      </c>
      <c r="M349" t="str">
        <f t="shared" si="23"/>
        <v>Win</v>
      </c>
      <c r="N349" t="s">
        <v>1004</v>
      </c>
      <c r="O349" t="s">
        <v>1001</v>
      </c>
      <c r="P349" t="s">
        <v>1001</v>
      </c>
    </row>
    <row r="350" spans="1:16" x14ac:dyDescent="0.3">
      <c r="A350" t="s">
        <v>927</v>
      </c>
      <c r="B350" s="1">
        <v>41881</v>
      </c>
      <c r="C350" s="1" t="str">
        <f t="shared" si="20"/>
        <v>Saturday</v>
      </c>
      <c r="D350" s="1" t="str">
        <f t="shared" si="21"/>
        <v>August</v>
      </c>
      <c r="E350">
        <f t="shared" si="22"/>
        <v>2014</v>
      </c>
      <c r="F350" t="s">
        <v>516</v>
      </c>
      <c r="G350" t="s">
        <v>425</v>
      </c>
      <c r="H350" t="s">
        <v>46</v>
      </c>
      <c r="I350" t="s">
        <v>517</v>
      </c>
      <c r="J350" t="s">
        <v>38</v>
      </c>
      <c r="K350" t="s">
        <v>398</v>
      </c>
      <c r="L350" t="s">
        <v>38</v>
      </c>
      <c r="M350" t="str">
        <f t="shared" si="23"/>
        <v>Win</v>
      </c>
      <c r="N350" t="s">
        <v>1011</v>
      </c>
      <c r="O350" t="s">
        <v>1001</v>
      </c>
      <c r="P350" t="s">
        <v>1001</v>
      </c>
    </row>
    <row r="351" spans="1:16" x14ac:dyDescent="0.3">
      <c r="A351" t="s">
        <v>928</v>
      </c>
      <c r="B351" s="1">
        <v>41882</v>
      </c>
      <c r="C351" s="1" t="str">
        <f t="shared" si="20"/>
        <v>Sunday</v>
      </c>
      <c r="D351" s="1" t="str">
        <f t="shared" si="21"/>
        <v>August</v>
      </c>
      <c r="E351">
        <f t="shared" si="22"/>
        <v>2014</v>
      </c>
      <c r="F351" t="s">
        <v>516</v>
      </c>
      <c r="G351" t="s">
        <v>425</v>
      </c>
      <c r="H351" t="s">
        <v>47</v>
      </c>
      <c r="I351" t="s">
        <v>517</v>
      </c>
      <c r="J351" t="s">
        <v>38</v>
      </c>
      <c r="K351" t="s">
        <v>253</v>
      </c>
      <c r="L351" t="s">
        <v>253</v>
      </c>
      <c r="M351" t="str">
        <f t="shared" si="23"/>
        <v>Loss</v>
      </c>
      <c r="N351" t="s">
        <v>409</v>
      </c>
      <c r="O351" t="s">
        <v>1001</v>
      </c>
      <c r="P351" t="s">
        <v>1001</v>
      </c>
    </row>
    <row r="352" spans="1:16" x14ac:dyDescent="0.3">
      <c r="A352" t="s">
        <v>929</v>
      </c>
      <c r="B352" s="1">
        <v>42171</v>
      </c>
      <c r="C352" s="1" t="str">
        <f t="shared" si="20"/>
        <v>Tuesday</v>
      </c>
      <c r="D352" s="1" t="str">
        <f t="shared" si="21"/>
        <v>June</v>
      </c>
      <c r="E352">
        <f t="shared" si="22"/>
        <v>2015</v>
      </c>
      <c r="F352" t="s">
        <v>527</v>
      </c>
      <c r="G352" t="s">
        <v>219</v>
      </c>
      <c r="H352" t="s">
        <v>222</v>
      </c>
      <c r="I352" t="s">
        <v>528</v>
      </c>
      <c r="J352" t="s">
        <v>38</v>
      </c>
      <c r="K352" t="s">
        <v>422</v>
      </c>
      <c r="L352" t="s">
        <v>38</v>
      </c>
      <c r="M352" t="str">
        <f t="shared" si="23"/>
        <v>Win</v>
      </c>
      <c r="N352" t="s">
        <v>485</v>
      </c>
      <c r="O352" t="s">
        <v>1001</v>
      </c>
      <c r="P352" t="s">
        <v>1001</v>
      </c>
    </row>
    <row r="353" spans="1:16" x14ac:dyDescent="0.3">
      <c r="A353" t="s">
        <v>930</v>
      </c>
      <c r="B353" s="1">
        <v>42173</v>
      </c>
      <c r="C353" s="1" t="str">
        <f t="shared" si="20"/>
        <v>Thursday</v>
      </c>
      <c r="D353" s="1" t="str">
        <f t="shared" si="21"/>
        <v>June</v>
      </c>
      <c r="E353">
        <f t="shared" si="22"/>
        <v>2015</v>
      </c>
      <c r="F353" t="s">
        <v>527</v>
      </c>
      <c r="G353" t="s">
        <v>219</v>
      </c>
      <c r="H353" t="s">
        <v>40</v>
      </c>
      <c r="I353" t="s">
        <v>528</v>
      </c>
      <c r="J353" t="s">
        <v>38</v>
      </c>
      <c r="K353" t="s">
        <v>467</v>
      </c>
      <c r="L353" t="s">
        <v>38</v>
      </c>
      <c r="M353" t="str">
        <f t="shared" si="23"/>
        <v>Win</v>
      </c>
      <c r="N353" t="s">
        <v>524</v>
      </c>
      <c r="O353" t="s">
        <v>1001</v>
      </c>
      <c r="P353" t="s">
        <v>1001</v>
      </c>
    </row>
    <row r="354" spans="1:16" x14ac:dyDescent="0.3">
      <c r="A354" t="s">
        <v>931</v>
      </c>
      <c r="B354" s="1">
        <v>42174</v>
      </c>
      <c r="C354" s="1" t="str">
        <f t="shared" si="20"/>
        <v>Friday</v>
      </c>
      <c r="D354" s="1" t="str">
        <f t="shared" si="21"/>
        <v>June</v>
      </c>
      <c r="E354">
        <f t="shared" si="22"/>
        <v>2015</v>
      </c>
      <c r="F354" t="s">
        <v>527</v>
      </c>
      <c r="G354" t="s">
        <v>219</v>
      </c>
      <c r="H354" t="s">
        <v>42</v>
      </c>
      <c r="I354" t="s">
        <v>528</v>
      </c>
      <c r="J354" t="s">
        <v>38</v>
      </c>
      <c r="K354" t="s">
        <v>62</v>
      </c>
      <c r="L354" t="s">
        <v>38</v>
      </c>
      <c r="M354" t="str">
        <f t="shared" si="23"/>
        <v>Win</v>
      </c>
      <c r="N354" t="s">
        <v>1011</v>
      </c>
      <c r="O354" t="s">
        <v>1001</v>
      </c>
      <c r="P354" t="s">
        <v>1001</v>
      </c>
    </row>
    <row r="355" spans="1:16" x14ac:dyDescent="0.3">
      <c r="A355" t="s">
        <v>932</v>
      </c>
      <c r="B355" s="1">
        <v>42180</v>
      </c>
      <c r="C355" s="1" t="str">
        <f t="shared" si="20"/>
        <v>Thursday</v>
      </c>
      <c r="D355" s="1" t="str">
        <f t="shared" si="21"/>
        <v>June</v>
      </c>
      <c r="E355">
        <f t="shared" si="22"/>
        <v>2015</v>
      </c>
      <c r="F355" t="s">
        <v>529</v>
      </c>
      <c r="G355" t="s">
        <v>229</v>
      </c>
      <c r="H355" t="s">
        <v>40</v>
      </c>
      <c r="I355" t="s">
        <v>530</v>
      </c>
      <c r="J355" t="s">
        <v>38</v>
      </c>
      <c r="K355" t="s">
        <v>169</v>
      </c>
      <c r="L355" t="s">
        <v>38</v>
      </c>
      <c r="M355" t="str">
        <f t="shared" si="23"/>
        <v>Win</v>
      </c>
      <c r="N355" t="s">
        <v>524</v>
      </c>
      <c r="O355" t="s">
        <v>1000</v>
      </c>
      <c r="P355" t="s">
        <v>1005</v>
      </c>
    </row>
    <row r="356" spans="1:16" x14ac:dyDescent="0.3">
      <c r="A356" t="s">
        <v>933</v>
      </c>
      <c r="B356" s="1">
        <v>42181</v>
      </c>
      <c r="C356" s="1" t="str">
        <f t="shared" si="20"/>
        <v>Friday</v>
      </c>
      <c r="D356" s="1" t="str">
        <f t="shared" si="21"/>
        <v>June</v>
      </c>
      <c r="E356">
        <f t="shared" si="22"/>
        <v>2015</v>
      </c>
      <c r="F356" t="s">
        <v>529</v>
      </c>
      <c r="G356" t="s">
        <v>229</v>
      </c>
      <c r="H356" t="s">
        <v>42</v>
      </c>
      <c r="I356" t="s">
        <v>530</v>
      </c>
      <c r="J356" t="s">
        <v>38</v>
      </c>
      <c r="K356" t="s">
        <v>316</v>
      </c>
      <c r="L356" t="s">
        <v>38</v>
      </c>
      <c r="M356" t="str">
        <f t="shared" si="23"/>
        <v>Win</v>
      </c>
      <c r="N356" t="s">
        <v>203</v>
      </c>
      <c r="O356" t="s">
        <v>999</v>
      </c>
      <c r="P356" t="s">
        <v>1010</v>
      </c>
    </row>
    <row r="357" spans="1:16" x14ac:dyDescent="0.3">
      <c r="A357" t="s">
        <v>934</v>
      </c>
      <c r="B357" s="1">
        <v>42182</v>
      </c>
      <c r="C357" s="1" t="str">
        <f t="shared" si="20"/>
        <v>Saturday</v>
      </c>
      <c r="D357" s="1" t="str">
        <f t="shared" si="21"/>
        <v>June</v>
      </c>
      <c r="E357">
        <f t="shared" si="22"/>
        <v>2015</v>
      </c>
      <c r="F357" t="s">
        <v>529</v>
      </c>
      <c r="G357" t="s">
        <v>229</v>
      </c>
      <c r="H357" t="s">
        <v>46</v>
      </c>
      <c r="I357" t="s">
        <v>530</v>
      </c>
      <c r="J357" t="s">
        <v>38</v>
      </c>
      <c r="K357" t="s">
        <v>136</v>
      </c>
      <c r="L357" t="s">
        <v>38</v>
      </c>
      <c r="M357" t="str">
        <f t="shared" si="23"/>
        <v>Win</v>
      </c>
      <c r="N357" t="s">
        <v>505</v>
      </c>
      <c r="O357" t="s">
        <v>1005</v>
      </c>
      <c r="P357" t="s">
        <v>998</v>
      </c>
    </row>
    <row r="358" spans="1:16" x14ac:dyDescent="0.3">
      <c r="A358" t="s">
        <v>935</v>
      </c>
      <c r="B358" s="1">
        <v>42255</v>
      </c>
      <c r="C358" s="1" t="str">
        <f t="shared" si="20"/>
        <v>Tuesday</v>
      </c>
      <c r="D358" s="1" t="str">
        <f t="shared" si="21"/>
        <v>September</v>
      </c>
      <c r="E358">
        <f t="shared" si="22"/>
        <v>2015</v>
      </c>
      <c r="F358" t="s">
        <v>534</v>
      </c>
      <c r="G358" t="s">
        <v>1</v>
      </c>
      <c r="H358" t="s">
        <v>11</v>
      </c>
      <c r="I358" t="s">
        <v>348</v>
      </c>
      <c r="J358" t="s">
        <v>38</v>
      </c>
      <c r="K358" t="s">
        <v>231</v>
      </c>
      <c r="L358" t="s">
        <v>38</v>
      </c>
      <c r="M358" t="str">
        <f t="shared" si="23"/>
        <v>Win</v>
      </c>
      <c r="N358" t="s">
        <v>1023</v>
      </c>
      <c r="O358" t="s">
        <v>1001</v>
      </c>
      <c r="P358" t="s">
        <v>1001</v>
      </c>
    </row>
    <row r="359" spans="1:16" x14ac:dyDescent="0.3">
      <c r="A359" t="s">
        <v>936</v>
      </c>
      <c r="B359" s="1">
        <v>42255</v>
      </c>
      <c r="C359" s="1" t="str">
        <f t="shared" si="20"/>
        <v>Tuesday</v>
      </c>
      <c r="D359" s="1" t="str">
        <f t="shared" si="21"/>
        <v>September</v>
      </c>
      <c r="E359">
        <f t="shared" si="22"/>
        <v>2015</v>
      </c>
      <c r="F359" t="s">
        <v>534</v>
      </c>
      <c r="G359" t="s">
        <v>1</v>
      </c>
      <c r="H359" t="s">
        <v>15</v>
      </c>
      <c r="I359" t="s">
        <v>348</v>
      </c>
      <c r="J359" t="s">
        <v>38</v>
      </c>
      <c r="K359" t="s">
        <v>441</v>
      </c>
      <c r="L359" t="s">
        <v>38</v>
      </c>
      <c r="M359" t="str">
        <f t="shared" si="23"/>
        <v>Win</v>
      </c>
      <c r="N359" t="s">
        <v>1005</v>
      </c>
      <c r="O359" t="s">
        <v>1001</v>
      </c>
      <c r="P359" t="s">
        <v>1001</v>
      </c>
    </row>
    <row r="360" spans="1:16" x14ac:dyDescent="0.3">
      <c r="A360" t="s">
        <v>937</v>
      </c>
      <c r="B360" s="1">
        <v>42262</v>
      </c>
      <c r="C360" s="1" t="str">
        <f t="shared" si="20"/>
        <v>Tuesday</v>
      </c>
      <c r="D360" s="1" t="str">
        <f t="shared" si="21"/>
        <v>September</v>
      </c>
      <c r="E360">
        <f t="shared" si="22"/>
        <v>2015</v>
      </c>
      <c r="F360" t="s">
        <v>501</v>
      </c>
      <c r="G360" t="s">
        <v>1</v>
      </c>
      <c r="H360" t="s">
        <v>11</v>
      </c>
      <c r="I360" t="s">
        <v>365</v>
      </c>
      <c r="J360" t="s">
        <v>38</v>
      </c>
      <c r="K360" t="s">
        <v>441</v>
      </c>
      <c r="L360" t="s">
        <v>441</v>
      </c>
      <c r="M360" t="str">
        <f t="shared" si="23"/>
        <v>Loss</v>
      </c>
      <c r="N360" t="s">
        <v>409</v>
      </c>
      <c r="O360" t="s">
        <v>1001</v>
      </c>
      <c r="P360" t="s">
        <v>1001</v>
      </c>
    </row>
    <row r="361" spans="1:16" x14ac:dyDescent="0.3">
      <c r="A361" t="s">
        <v>938</v>
      </c>
      <c r="B361" s="1">
        <v>42292</v>
      </c>
      <c r="C361" s="1" t="str">
        <f t="shared" si="20"/>
        <v>Thursday</v>
      </c>
      <c r="D361" s="1" t="str">
        <f t="shared" si="21"/>
        <v>October</v>
      </c>
      <c r="E361">
        <f t="shared" si="22"/>
        <v>2015</v>
      </c>
      <c r="F361" t="s">
        <v>518</v>
      </c>
      <c r="G361" t="s">
        <v>286</v>
      </c>
      <c r="H361" t="s">
        <v>40</v>
      </c>
      <c r="I361" t="s">
        <v>402</v>
      </c>
      <c r="J361" t="s">
        <v>38</v>
      </c>
      <c r="K361" t="s">
        <v>389</v>
      </c>
      <c r="L361" t="s">
        <v>389</v>
      </c>
      <c r="M361" t="str">
        <f t="shared" si="23"/>
        <v>Loss</v>
      </c>
      <c r="N361" t="s">
        <v>999</v>
      </c>
      <c r="O361" t="s">
        <v>1001</v>
      </c>
      <c r="P361" t="s">
        <v>1001</v>
      </c>
    </row>
    <row r="362" spans="1:16" x14ac:dyDescent="0.3">
      <c r="A362" t="s">
        <v>939</v>
      </c>
      <c r="B362" s="1">
        <v>42298</v>
      </c>
      <c r="C362" s="1" t="str">
        <f t="shared" si="20"/>
        <v>Wednesday</v>
      </c>
      <c r="D362" s="1" t="str">
        <f t="shared" si="21"/>
        <v>October</v>
      </c>
      <c r="E362">
        <f t="shared" si="22"/>
        <v>2015</v>
      </c>
      <c r="F362" t="s">
        <v>519</v>
      </c>
      <c r="G362" t="s">
        <v>1</v>
      </c>
      <c r="H362" t="s">
        <v>17</v>
      </c>
      <c r="I362" t="s">
        <v>354</v>
      </c>
      <c r="J362" t="s">
        <v>38</v>
      </c>
      <c r="K362" t="s">
        <v>155</v>
      </c>
      <c r="L362" t="s">
        <v>38</v>
      </c>
      <c r="M362" t="str">
        <f t="shared" si="23"/>
        <v>Win</v>
      </c>
      <c r="N362" t="s">
        <v>1006</v>
      </c>
      <c r="O362" t="s">
        <v>1001</v>
      </c>
      <c r="P362" t="s">
        <v>1001</v>
      </c>
    </row>
    <row r="363" spans="1:16" x14ac:dyDescent="0.3">
      <c r="A363" t="s">
        <v>940</v>
      </c>
      <c r="B363" s="1">
        <v>42302</v>
      </c>
      <c r="C363" s="1" t="str">
        <f t="shared" si="20"/>
        <v>Sunday</v>
      </c>
      <c r="D363" s="1" t="str">
        <f t="shared" si="21"/>
        <v>October</v>
      </c>
      <c r="E363">
        <f t="shared" si="22"/>
        <v>2015</v>
      </c>
      <c r="F363" t="s">
        <v>519</v>
      </c>
      <c r="G363" t="s">
        <v>1</v>
      </c>
      <c r="H363" t="s">
        <v>47</v>
      </c>
      <c r="I363" t="s">
        <v>354</v>
      </c>
      <c r="J363" t="s">
        <v>38</v>
      </c>
      <c r="K363" t="s">
        <v>226</v>
      </c>
      <c r="L363" t="s">
        <v>38</v>
      </c>
      <c r="M363" t="str">
        <f t="shared" si="23"/>
        <v>Win</v>
      </c>
      <c r="N363" t="s">
        <v>203</v>
      </c>
      <c r="O363" t="s">
        <v>1001</v>
      </c>
      <c r="P363" t="s">
        <v>1001</v>
      </c>
    </row>
    <row r="364" spans="1:16" x14ac:dyDescent="0.3">
      <c r="A364" t="s">
        <v>941</v>
      </c>
      <c r="B364" s="1">
        <v>42319</v>
      </c>
      <c r="C364" s="1" t="str">
        <f t="shared" si="20"/>
        <v>Wednesday</v>
      </c>
      <c r="D364" s="1" t="str">
        <f t="shared" si="21"/>
        <v>November</v>
      </c>
      <c r="E364">
        <f t="shared" si="22"/>
        <v>2015</v>
      </c>
      <c r="F364" t="s">
        <v>536</v>
      </c>
      <c r="G364" t="s">
        <v>286</v>
      </c>
      <c r="H364" t="s">
        <v>17</v>
      </c>
      <c r="I364" t="s">
        <v>521</v>
      </c>
      <c r="J364" t="s">
        <v>38</v>
      </c>
      <c r="K364" t="s">
        <v>339</v>
      </c>
      <c r="L364" t="s">
        <v>38</v>
      </c>
      <c r="M364" t="str">
        <f t="shared" si="23"/>
        <v>Win</v>
      </c>
      <c r="N364" t="s">
        <v>1005</v>
      </c>
      <c r="O364" t="s">
        <v>1001</v>
      </c>
      <c r="P364" t="s">
        <v>1001</v>
      </c>
    </row>
    <row r="365" spans="1:16" x14ac:dyDescent="0.3">
      <c r="A365" t="s">
        <v>942</v>
      </c>
      <c r="B365" s="1">
        <v>42320</v>
      </c>
      <c r="C365" s="1" t="str">
        <f t="shared" si="20"/>
        <v>Thursday</v>
      </c>
      <c r="D365" s="1" t="str">
        <f t="shared" si="21"/>
        <v>November</v>
      </c>
      <c r="E365">
        <f t="shared" si="22"/>
        <v>2015</v>
      </c>
      <c r="F365" t="s">
        <v>536</v>
      </c>
      <c r="G365" t="s">
        <v>286</v>
      </c>
      <c r="H365" t="s">
        <v>40</v>
      </c>
      <c r="I365" t="s">
        <v>521</v>
      </c>
      <c r="J365" t="s">
        <v>38</v>
      </c>
      <c r="K365" t="s">
        <v>226</v>
      </c>
      <c r="L365" t="s">
        <v>38</v>
      </c>
      <c r="M365" t="str">
        <f t="shared" si="23"/>
        <v>Win</v>
      </c>
      <c r="N365" t="s">
        <v>1011</v>
      </c>
      <c r="O365" t="s">
        <v>566</v>
      </c>
      <c r="P365" t="s">
        <v>998</v>
      </c>
    </row>
    <row r="366" spans="1:16" x14ac:dyDescent="0.3">
      <c r="A366" t="s">
        <v>943</v>
      </c>
      <c r="B366" s="1">
        <v>42321</v>
      </c>
      <c r="C366" s="1" t="str">
        <f t="shared" si="20"/>
        <v>Friday</v>
      </c>
      <c r="D366" s="1" t="str">
        <f t="shared" si="21"/>
        <v>November</v>
      </c>
      <c r="E366">
        <f t="shared" si="22"/>
        <v>2015</v>
      </c>
      <c r="F366" t="s">
        <v>536</v>
      </c>
      <c r="G366" t="s">
        <v>286</v>
      </c>
      <c r="H366" t="s">
        <v>42</v>
      </c>
      <c r="I366" t="s">
        <v>521</v>
      </c>
      <c r="J366" t="s">
        <v>38</v>
      </c>
      <c r="K366" t="s">
        <v>149</v>
      </c>
      <c r="L366" t="s">
        <v>38</v>
      </c>
      <c r="M366" t="str">
        <f t="shared" si="23"/>
        <v>Win</v>
      </c>
      <c r="N366" t="s">
        <v>1010</v>
      </c>
      <c r="O366" t="s">
        <v>1009</v>
      </c>
      <c r="P366" t="s">
        <v>1005</v>
      </c>
    </row>
    <row r="367" spans="1:16" x14ac:dyDescent="0.3">
      <c r="A367" t="s">
        <v>944</v>
      </c>
      <c r="B367" s="1">
        <v>42327</v>
      </c>
      <c r="C367" s="1" t="str">
        <f t="shared" si="20"/>
        <v>Thursday</v>
      </c>
      <c r="D367" s="1" t="str">
        <f t="shared" si="21"/>
        <v>November</v>
      </c>
      <c r="E367">
        <f t="shared" si="22"/>
        <v>2015</v>
      </c>
      <c r="F367" t="s">
        <v>539</v>
      </c>
      <c r="G367" t="s">
        <v>1</v>
      </c>
      <c r="H367" t="s">
        <v>40</v>
      </c>
      <c r="I367" t="s">
        <v>439</v>
      </c>
      <c r="J367" t="s">
        <v>38</v>
      </c>
      <c r="K367" t="s">
        <v>158</v>
      </c>
      <c r="L367" t="s">
        <v>38</v>
      </c>
      <c r="M367" t="str">
        <f t="shared" si="23"/>
        <v>Win</v>
      </c>
      <c r="N367" t="s">
        <v>998</v>
      </c>
      <c r="O367" t="s">
        <v>1001</v>
      </c>
      <c r="P367" t="s">
        <v>1001</v>
      </c>
    </row>
    <row r="368" spans="1:16" x14ac:dyDescent="0.3">
      <c r="A368" t="s">
        <v>945</v>
      </c>
      <c r="B368" s="1">
        <v>42329</v>
      </c>
      <c r="C368" s="1" t="str">
        <f t="shared" si="20"/>
        <v>Saturday</v>
      </c>
      <c r="D368" s="1" t="str">
        <f t="shared" si="21"/>
        <v>November</v>
      </c>
      <c r="E368">
        <f t="shared" si="22"/>
        <v>2015</v>
      </c>
      <c r="F368" t="s">
        <v>539</v>
      </c>
      <c r="G368" t="s">
        <v>1</v>
      </c>
      <c r="H368" t="s">
        <v>46</v>
      </c>
      <c r="I368" t="s">
        <v>439</v>
      </c>
      <c r="J368" t="s">
        <v>38</v>
      </c>
      <c r="K368" t="s">
        <v>339</v>
      </c>
      <c r="L368" t="s">
        <v>38</v>
      </c>
      <c r="M368" t="str">
        <f t="shared" si="23"/>
        <v>Win</v>
      </c>
      <c r="N368" t="s">
        <v>179</v>
      </c>
      <c r="O368" t="s">
        <v>1001</v>
      </c>
      <c r="P368" t="s">
        <v>1001</v>
      </c>
    </row>
    <row r="369" spans="1:16" x14ac:dyDescent="0.3">
      <c r="A369" t="s">
        <v>946</v>
      </c>
      <c r="B369" s="1">
        <v>42330</v>
      </c>
      <c r="C369" s="1" t="str">
        <f t="shared" si="20"/>
        <v>Sunday</v>
      </c>
      <c r="D369" s="1" t="str">
        <f t="shared" si="21"/>
        <v>November</v>
      </c>
      <c r="E369">
        <f t="shared" si="22"/>
        <v>2015</v>
      </c>
      <c r="F369" t="s">
        <v>539</v>
      </c>
      <c r="G369" t="s">
        <v>1</v>
      </c>
      <c r="H369" t="s">
        <v>47</v>
      </c>
      <c r="I369" t="s">
        <v>439</v>
      </c>
      <c r="J369" t="s">
        <v>38</v>
      </c>
      <c r="K369" t="s">
        <v>343</v>
      </c>
      <c r="L369" t="s">
        <v>38</v>
      </c>
      <c r="M369" t="str">
        <f t="shared" si="23"/>
        <v>Win</v>
      </c>
      <c r="N369" t="s">
        <v>550</v>
      </c>
      <c r="O369" t="s">
        <v>1001</v>
      </c>
      <c r="P369" t="s">
        <v>1001</v>
      </c>
    </row>
    <row r="370" spans="1:16" x14ac:dyDescent="0.3">
      <c r="A370" t="s">
        <v>947</v>
      </c>
      <c r="B370" s="1">
        <v>42389</v>
      </c>
      <c r="C370" s="1" t="str">
        <f t="shared" si="20"/>
        <v>Wednesday</v>
      </c>
      <c r="D370" s="1" t="str">
        <f t="shared" si="21"/>
        <v>January</v>
      </c>
      <c r="E370">
        <f t="shared" si="22"/>
        <v>2016</v>
      </c>
      <c r="F370" t="s">
        <v>541</v>
      </c>
      <c r="G370" t="s">
        <v>219</v>
      </c>
      <c r="H370" t="s">
        <v>222</v>
      </c>
      <c r="I370" t="s">
        <v>542</v>
      </c>
      <c r="J370" t="s">
        <v>38</v>
      </c>
      <c r="K370" t="s">
        <v>466</v>
      </c>
      <c r="L370" t="s">
        <v>38</v>
      </c>
      <c r="M370" t="str">
        <f t="shared" si="23"/>
        <v>Win</v>
      </c>
      <c r="N370" t="s">
        <v>485</v>
      </c>
      <c r="O370" t="s">
        <v>1001</v>
      </c>
      <c r="P370" t="s">
        <v>1001</v>
      </c>
    </row>
    <row r="371" spans="1:16" x14ac:dyDescent="0.3">
      <c r="A371" t="s">
        <v>948</v>
      </c>
      <c r="B371" s="1">
        <v>42389</v>
      </c>
      <c r="C371" s="1" t="str">
        <f t="shared" si="20"/>
        <v>Wednesday</v>
      </c>
      <c r="D371" s="1" t="str">
        <f t="shared" si="21"/>
        <v>January</v>
      </c>
      <c r="E371">
        <f t="shared" si="22"/>
        <v>2016</v>
      </c>
      <c r="F371" t="s">
        <v>541</v>
      </c>
      <c r="G371" t="s">
        <v>219</v>
      </c>
      <c r="H371" t="s">
        <v>17</v>
      </c>
      <c r="I371" t="s">
        <v>542</v>
      </c>
      <c r="J371" t="s">
        <v>38</v>
      </c>
      <c r="K371" t="s">
        <v>525</v>
      </c>
      <c r="L371" t="s">
        <v>38</v>
      </c>
      <c r="M371" t="str">
        <f t="shared" si="23"/>
        <v>Win</v>
      </c>
      <c r="N371" t="s">
        <v>1012</v>
      </c>
      <c r="O371" t="s">
        <v>1001</v>
      </c>
      <c r="P371" t="s">
        <v>1001</v>
      </c>
    </row>
    <row r="372" spans="1:16" x14ac:dyDescent="0.3">
      <c r="A372" t="s">
        <v>949</v>
      </c>
      <c r="B372" s="1">
        <v>42390</v>
      </c>
      <c r="C372" s="1" t="str">
        <f t="shared" si="20"/>
        <v>Thursday</v>
      </c>
      <c r="D372" s="1" t="str">
        <f t="shared" si="21"/>
        <v>January</v>
      </c>
      <c r="E372">
        <f t="shared" si="22"/>
        <v>2016</v>
      </c>
      <c r="F372" t="s">
        <v>541</v>
      </c>
      <c r="G372" t="s">
        <v>219</v>
      </c>
      <c r="H372" t="s">
        <v>40</v>
      </c>
      <c r="I372" t="s">
        <v>542</v>
      </c>
      <c r="J372" t="s">
        <v>38</v>
      </c>
      <c r="K372" t="s">
        <v>210</v>
      </c>
      <c r="L372" t="s">
        <v>38</v>
      </c>
      <c r="M372" t="str">
        <f t="shared" si="23"/>
        <v>Win</v>
      </c>
      <c r="N372" t="s">
        <v>1005</v>
      </c>
      <c r="O372" t="s">
        <v>1001</v>
      </c>
      <c r="P372" t="s">
        <v>1001</v>
      </c>
    </row>
    <row r="373" spans="1:16" x14ac:dyDescent="0.3">
      <c r="A373" t="s">
        <v>950</v>
      </c>
      <c r="B373" s="1">
        <v>42391</v>
      </c>
      <c r="C373" s="1" t="str">
        <f t="shared" si="20"/>
        <v>Friday</v>
      </c>
      <c r="D373" s="1" t="str">
        <f t="shared" si="21"/>
        <v>January</v>
      </c>
      <c r="E373">
        <f t="shared" si="22"/>
        <v>2016</v>
      </c>
      <c r="F373" t="s">
        <v>541</v>
      </c>
      <c r="G373" t="s">
        <v>219</v>
      </c>
      <c r="H373" t="s">
        <v>42</v>
      </c>
      <c r="I373" t="s">
        <v>542</v>
      </c>
      <c r="J373" t="s">
        <v>38</v>
      </c>
      <c r="K373" t="s">
        <v>79</v>
      </c>
      <c r="L373" t="s">
        <v>38</v>
      </c>
      <c r="M373" t="str">
        <f t="shared" si="23"/>
        <v>Win</v>
      </c>
      <c r="N373" t="s">
        <v>550</v>
      </c>
      <c r="O373" t="s">
        <v>1001</v>
      </c>
      <c r="P373" t="s">
        <v>1001</v>
      </c>
    </row>
    <row r="374" spans="1:16" x14ac:dyDescent="0.3">
      <c r="A374" t="s">
        <v>951</v>
      </c>
      <c r="B374" s="1">
        <v>42392</v>
      </c>
      <c r="C374" s="1" t="str">
        <f t="shared" si="20"/>
        <v>Saturday</v>
      </c>
      <c r="D374" s="1" t="str">
        <f t="shared" si="21"/>
        <v>January</v>
      </c>
      <c r="E374">
        <f t="shared" si="22"/>
        <v>2016</v>
      </c>
      <c r="F374" t="s">
        <v>541</v>
      </c>
      <c r="G374" t="s">
        <v>219</v>
      </c>
      <c r="H374" t="s">
        <v>46</v>
      </c>
      <c r="I374" t="s">
        <v>542</v>
      </c>
      <c r="J374" t="s">
        <v>38</v>
      </c>
      <c r="K374" t="s">
        <v>65</v>
      </c>
      <c r="L374" t="s">
        <v>38</v>
      </c>
      <c r="M374" t="str">
        <f t="shared" si="23"/>
        <v>Win</v>
      </c>
      <c r="N374" t="s">
        <v>179</v>
      </c>
      <c r="O374" t="s">
        <v>1001</v>
      </c>
      <c r="P374" t="s">
        <v>1001</v>
      </c>
    </row>
    <row r="375" spans="1:16" x14ac:dyDescent="0.3">
      <c r="A375" t="s">
        <v>952</v>
      </c>
      <c r="B375" s="1">
        <v>42393</v>
      </c>
      <c r="C375" s="1" t="str">
        <f t="shared" si="20"/>
        <v>Sunday</v>
      </c>
      <c r="D375" s="1" t="str">
        <f t="shared" si="21"/>
        <v>January</v>
      </c>
      <c r="E375">
        <f t="shared" si="22"/>
        <v>2016</v>
      </c>
      <c r="F375" t="s">
        <v>541</v>
      </c>
      <c r="G375" t="s">
        <v>219</v>
      </c>
      <c r="H375" t="s">
        <v>47</v>
      </c>
      <c r="I375" t="s">
        <v>542</v>
      </c>
      <c r="J375" t="s">
        <v>38</v>
      </c>
      <c r="K375" t="s">
        <v>260</v>
      </c>
      <c r="L375" t="s">
        <v>38</v>
      </c>
      <c r="M375" t="str">
        <f t="shared" si="23"/>
        <v>Win</v>
      </c>
      <c r="N375" t="s">
        <v>385</v>
      </c>
      <c r="O375" t="s">
        <v>1001</v>
      </c>
      <c r="P375" t="s">
        <v>1001</v>
      </c>
    </row>
    <row r="376" spans="1:16" x14ac:dyDescent="0.3">
      <c r="A376" t="s">
        <v>953</v>
      </c>
      <c r="B376" s="1">
        <v>42459</v>
      </c>
      <c r="C376" s="1" t="str">
        <f t="shared" si="20"/>
        <v>Wednesday</v>
      </c>
      <c r="D376" s="1" t="str">
        <f t="shared" si="21"/>
        <v>March</v>
      </c>
      <c r="E376">
        <f t="shared" si="22"/>
        <v>2016</v>
      </c>
      <c r="F376" t="s">
        <v>544</v>
      </c>
      <c r="G376" t="s">
        <v>1</v>
      </c>
      <c r="H376" t="s">
        <v>17</v>
      </c>
      <c r="I376" t="s">
        <v>378</v>
      </c>
      <c r="J376" t="s">
        <v>38</v>
      </c>
      <c r="K376" t="s">
        <v>422</v>
      </c>
      <c r="L376" t="s">
        <v>38</v>
      </c>
      <c r="M376" t="str">
        <f t="shared" si="23"/>
        <v>Win</v>
      </c>
      <c r="N376" t="s">
        <v>1010</v>
      </c>
      <c r="O376" t="s">
        <v>1001</v>
      </c>
      <c r="P376" t="s">
        <v>1001</v>
      </c>
    </row>
    <row r="377" spans="1:16" x14ac:dyDescent="0.3">
      <c r="A377" t="s">
        <v>954</v>
      </c>
      <c r="B377" s="1">
        <v>42460</v>
      </c>
      <c r="C377" s="1" t="str">
        <f t="shared" si="20"/>
        <v>Thursday</v>
      </c>
      <c r="D377" s="1" t="str">
        <f t="shared" si="21"/>
        <v>March</v>
      </c>
      <c r="E377">
        <f t="shared" si="22"/>
        <v>2016</v>
      </c>
      <c r="F377" t="s">
        <v>544</v>
      </c>
      <c r="G377" t="s">
        <v>1</v>
      </c>
      <c r="H377" t="s">
        <v>40</v>
      </c>
      <c r="I377" t="s">
        <v>378</v>
      </c>
      <c r="J377" t="s">
        <v>38</v>
      </c>
      <c r="K377" t="s">
        <v>389</v>
      </c>
      <c r="L377" t="s">
        <v>389</v>
      </c>
      <c r="M377" t="str">
        <f t="shared" si="23"/>
        <v>Loss</v>
      </c>
      <c r="N377" t="s">
        <v>409</v>
      </c>
      <c r="O377" t="s">
        <v>1001</v>
      </c>
      <c r="P377" t="s">
        <v>1001</v>
      </c>
    </row>
    <row r="378" spans="1:16" x14ac:dyDescent="0.3">
      <c r="A378" t="s">
        <v>955</v>
      </c>
      <c r="B378" s="1">
        <v>42593</v>
      </c>
      <c r="C378" s="1" t="str">
        <f t="shared" si="20"/>
        <v>Thursday</v>
      </c>
      <c r="D378" s="1" t="str">
        <f t="shared" si="21"/>
        <v>August</v>
      </c>
      <c r="E378">
        <f t="shared" si="22"/>
        <v>2016</v>
      </c>
      <c r="F378" t="s">
        <v>546</v>
      </c>
      <c r="G378" t="s">
        <v>425</v>
      </c>
      <c r="H378" t="s">
        <v>287</v>
      </c>
      <c r="I378" t="s">
        <v>547</v>
      </c>
      <c r="J378" t="s">
        <v>38</v>
      </c>
      <c r="K378" t="s">
        <v>548</v>
      </c>
      <c r="L378" t="s">
        <v>38</v>
      </c>
      <c r="M378" t="str">
        <f t="shared" si="23"/>
        <v>Win</v>
      </c>
      <c r="N378" t="s">
        <v>1013</v>
      </c>
      <c r="O378" t="s">
        <v>1001</v>
      </c>
      <c r="P378" t="s">
        <v>1001</v>
      </c>
    </row>
    <row r="379" spans="1:16" x14ac:dyDescent="0.3">
      <c r="A379" t="s">
        <v>956</v>
      </c>
      <c r="B379" s="1">
        <v>42596</v>
      </c>
      <c r="C379" s="1" t="str">
        <f t="shared" si="20"/>
        <v>Sunday</v>
      </c>
      <c r="D379" s="1" t="str">
        <f t="shared" si="21"/>
        <v>August</v>
      </c>
      <c r="E379">
        <f t="shared" si="22"/>
        <v>2016</v>
      </c>
      <c r="F379" t="s">
        <v>546</v>
      </c>
      <c r="G379" t="s">
        <v>425</v>
      </c>
      <c r="H379" t="s">
        <v>289</v>
      </c>
      <c r="I379" t="s">
        <v>547</v>
      </c>
      <c r="J379" t="s">
        <v>38</v>
      </c>
      <c r="K379" t="s">
        <v>210</v>
      </c>
      <c r="L379" t="s">
        <v>38</v>
      </c>
      <c r="M379" t="str">
        <f t="shared" si="23"/>
        <v>Win</v>
      </c>
      <c r="N379" t="s">
        <v>385</v>
      </c>
      <c r="O379" t="s">
        <v>1001</v>
      </c>
      <c r="P379" t="s">
        <v>1001</v>
      </c>
    </row>
    <row r="380" spans="1:16" x14ac:dyDescent="0.3">
      <c r="A380" t="s">
        <v>957</v>
      </c>
      <c r="B380" s="1">
        <v>42599</v>
      </c>
      <c r="C380" s="1" t="str">
        <f t="shared" si="20"/>
        <v>Wednesday</v>
      </c>
      <c r="D380" s="1" t="str">
        <f t="shared" si="21"/>
        <v>August</v>
      </c>
      <c r="E380">
        <f t="shared" si="22"/>
        <v>2016</v>
      </c>
      <c r="F380" t="s">
        <v>546</v>
      </c>
      <c r="G380" t="s">
        <v>425</v>
      </c>
      <c r="H380" t="s">
        <v>42</v>
      </c>
      <c r="I380" t="s">
        <v>547</v>
      </c>
      <c r="J380" t="s">
        <v>38</v>
      </c>
      <c r="K380" t="s">
        <v>226</v>
      </c>
      <c r="L380" t="s">
        <v>38</v>
      </c>
      <c r="M380" t="str">
        <f t="shared" si="23"/>
        <v>Win</v>
      </c>
      <c r="N380" t="s">
        <v>1011</v>
      </c>
      <c r="O380" t="s">
        <v>1001</v>
      </c>
      <c r="P380" t="s">
        <v>1001</v>
      </c>
    </row>
    <row r="381" spans="1:16" x14ac:dyDescent="0.3">
      <c r="A381" t="s">
        <v>958</v>
      </c>
      <c r="B381" s="1">
        <v>42601</v>
      </c>
      <c r="C381" s="1" t="str">
        <f t="shared" si="20"/>
        <v>Friday</v>
      </c>
      <c r="D381" s="1" t="str">
        <f t="shared" si="21"/>
        <v>August</v>
      </c>
      <c r="E381">
        <f t="shared" si="22"/>
        <v>2016</v>
      </c>
      <c r="F381" t="s">
        <v>546</v>
      </c>
      <c r="G381" t="s">
        <v>425</v>
      </c>
      <c r="H381" t="s">
        <v>46</v>
      </c>
      <c r="I381" t="s">
        <v>547</v>
      </c>
      <c r="J381" t="s">
        <v>38</v>
      </c>
      <c r="K381" t="s">
        <v>29</v>
      </c>
      <c r="L381" t="s">
        <v>38</v>
      </c>
      <c r="M381" t="str">
        <f t="shared" si="23"/>
        <v>Win</v>
      </c>
      <c r="N381" t="s">
        <v>566</v>
      </c>
      <c r="O381" t="s">
        <v>1010</v>
      </c>
      <c r="P381" t="s">
        <v>522</v>
      </c>
    </row>
    <row r="382" spans="1:16" x14ac:dyDescent="0.3">
      <c r="A382" t="s">
        <v>959</v>
      </c>
      <c r="B382" s="1">
        <v>42602</v>
      </c>
      <c r="C382" s="1" t="str">
        <f t="shared" si="20"/>
        <v>Saturday</v>
      </c>
      <c r="D382" s="1" t="str">
        <f t="shared" si="21"/>
        <v>August</v>
      </c>
      <c r="E382">
        <f t="shared" si="22"/>
        <v>2016</v>
      </c>
      <c r="F382" t="s">
        <v>546</v>
      </c>
      <c r="G382" t="s">
        <v>425</v>
      </c>
      <c r="H382" t="s">
        <v>47</v>
      </c>
      <c r="I382" t="s">
        <v>547</v>
      </c>
      <c r="J382" t="s">
        <v>38</v>
      </c>
      <c r="K382" t="s">
        <v>253</v>
      </c>
      <c r="L382" t="s">
        <v>253</v>
      </c>
      <c r="M382" t="str">
        <f t="shared" si="23"/>
        <v>Loss</v>
      </c>
      <c r="N382" t="s">
        <v>999</v>
      </c>
      <c r="O382" t="s">
        <v>1001</v>
      </c>
      <c r="P382" t="s">
        <v>1001</v>
      </c>
    </row>
    <row r="383" spans="1:16" x14ac:dyDescent="0.3">
      <c r="A383" t="s">
        <v>960</v>
      </c>
      <c r="B383" s="1">
        <v>42634</v>
      </c>
      <c r="C383" s="1" t="str">
        <f t="shared" si="20"/>
        <v>Wednesday</v>
      </c>
      <c r="D383" s="1" t="str">
        <f t="shared" si="21"/>
        <v>September</v>
      </c>
      <c r="E383">
        <f t="shared" si="22"/>
        <v>2016</v>
      </c>
      <c r="F383" t="s">
        <v>430</v>
      </c>
      <c r="G383" t="s">
        <v>1</v>
      </c>
      <c r="H383" t="s">
        <v>17</v>
      </c>
      <c r="I383" t="s">
        <v>348</v>
      </c>
      <c r="J383" t="s">
        <v>38</v>
      </c>
      <c r="K383" t="s">
        <v>23</v>
      </c>
      <c r="L383" t="s">
        <v>38</v>
      </c>
      <c r="M383" t="str">
        <f t="shared" si="23"/>
        <v>Win</v>
      </c>
      <c r="N383" t="s">
        <v>485</v>
      </c>
      <c r="O383" t="s">
        <v>1001</v>
      </c>
      <c r="P383" t="s">
        <v>1001</v>
      </c>
    </row>
    <row r="384" spans="1:16" x14ac:dyDescent="0.3">
      <c r="A384" t="s">
        <v>961</v>
      </c>
      <c r="B384" s="1">
        <v>42635</v>
      </c>
      <c r="C384" s="1" t="str">
        <f t="shared" si="20"/>
        <v>Thursday</v>
      </c>
      <c r="D384" s="1" t="str">
        <f t="shared" si="21"/>
        <v>September</v>
      </c>
      <c r="E384">
        <f t="shared" si="22"/>
        <v>2016</v>
      </c>
      <c r="F384" t="s">
        <v>430</v>
      </c>
      <c r="G384" t="s">
        <v>1</v>
      </c>
      <c r="H384" t="s">
        <v>40</v>
      </c>
      <c r="I384" t="s">
        <v>348</v>
      </c>
      <c r="J384" t="s">
        <v>38</v>
      </c>
      <c r="K384" t="s">
        <v>345</v>
      </c>
      <c r="L384" t="s">
        <v>38</v>
      </c>
      <c r="M384" t="str">
        <f t="shared" si="23"/>
        <v>Win</v>
      </c>
      <c r="N384" t="s">
        <v>1004</v>
      </c>
      <c r="O384" t="s">
        <v>1001</v>
      </c>
      <c r="P384" t="s">
        <v>1001</v>
      </c>
    </row>
    <row r="385" spans="1:16" x14ac:dyDescent="0.3">
      <c r="A385" t="s">
        <v>962</v>
      </c>
      <c r="B385" s="1">
        <v>42636</v>
      </c>
      <c r="C385" s="1" t="str">
        <f t="shared" si="20"/>
        <v>Friday</v>
      </c>
      <c r="D385" s="1" t="str">
        <f t="shared" si="21"/>
        <v>September</v>
      </c>
      <c r="E385">
        <f t="shared" si="22"/>
        <v>2016</v>
      </c>
      <c r="F385" t="s">
        <v>430</v>
      </c>
      <c r="G385" t="s">
        <v>1</v>
      </c>
      <c r="H385" t="s">
        <v>42</v>
      </c>
      <c r="I385" t="s">
        <v>348</v>
      </c>
      <c r="J385" t="s">
        <v>38</v>
      </c>
      <c r="K385" t="s">
        <v>497</v>
      </c>
      <c r="L385" t="s">
        <v>38</v>
      </c>
      <c r="M385" t="str">
        <f t="shared" si="23"/>
        <v>Win</v>
      </c>
      <c r="N385" t="s">
        <v>998</v>
      </c>
      <c r="O385" t="s">
        <v>1001</v>
      </c>
      <c r="P385" t="s">
        <v>1001</v>
      </c>
    </row>
    <row r="386" spans="1:16" x14ac:dyDescent="0.3">
      <c r="A386" t="s">
        <v>963</v>
      </c>
      <c r="B386" s="1">
        <v>42637</v>
      </c>
      <c r="C386" s="1" t="str">
        <f t="shared" si="20"/>
        <v>Saturday</v>
      </c>
      <c r="D386" s="1" t="str">
        <f t="shared" si="21"/>
        <v>September</v>
      </c>
      <c r="E386">
        <f t="shared" si="22"/>
        <v>2016</v>
      </c>
      <c r="F386" t="s">
        <v>430</v>
      </c>
      <c r="G386" t="s">
        <v>1</v>
      </c>
      <c r="H386" t="s">
        <v>46</v>
      </c>
      <c r="I386" t="s">
        <v>348</v>
      </c>
      <c r="J386" t="s">
        <v>38</v>
      </c>
      <c r="K386" t="s">
        <v>158</v>
      </c>
      <c r="L386" t="s">
        <v>38</v>
      </c>
      <c r="M386" t="str">
        <f t="shared" si="23"/>
        <v>Win</v>
      </c>
      <c r="N386" t="s">
        <v>485</v>
      </c>
      <c r="O386" t="s">
        <v>1001</v>
      </c>
      <c r="P386" t="s">
        <v>1001</v>
      </c>
    </row>
    <row r="387" spans="1:16" x14ac:dyDescent="0.3">
      <c r="A387" t="s">
        <v>964</v>
      </c>
      <c r="B387" s="1">
        <v>42638</v>
      </c>
      <c r="C387" s="1" t="str">
        <f t="shared" ref="C387:C416" si="24">TEXT(B387,"dddd")</f>
        <v>Sunday</v>
      </c>
      <c r="D387" s="1" t="str">
        <f t="shared" ref="D387:D416" si="25">TEXT(B387,"mmmm")</f>
        <v>September</v>
      </c>
      <c r="E387">
        <f t="shared" ref="E387:E416" si="26">YEAR(B387)</f>
        <v>2016</v>
      </c>
      <c r="F387" t="s">
        <v>430</v>
      </c>
      <c r="G387" t="s">
        <v>1</v>
      </c>
      <c r="H387" t="s">
        <v>47</v>
      </c>
      <c r="I387" t="s">
        <v>348</v>
      </c>
      <c r="J387" t="s">
        <v>38</v>
      </c>
      <c r="K387" t="s">
        <v>149</v>
      </c>
      <c r="L387" t="s">
        <v>38</v>
      </c>
      <c r="M387" t="str">
        <f t="shared" ref="M387:M416" si="27">IF(L387=J387,"Win","Loss")</f>
        <v>Win</v>
      </c>
      <c r="N387" t="s">
        <v>385</v>
      </c>
      <c r="O387" t="s">
        <v>566</v>
      </c>
      <c r="P387" t="s">
        <v>550</v>
      </c>
    </row>
    <row r="388" spans="1:16" x14ac:dyDescent="0.3">
      <c r="A388" t="s">
        <v>965</v>
      </c>
      <c r="B388" s="1">
        <v>42662</v>
      </c>
      <c r="C388" s="1" t="str">
        <f t="shared" si="24"/>
        <v>Wednesday</v>
      </c>
      <c r="D388" s="1" t="str">
        <f t="shared" si="25"/>
        <v>October</v>
      </c>
      <c r="E388">
        <f t="shared" si="26"/>
        <v>2016</v>
      </c>
      <c r="F388" t="s">
        <v>553</v>
      </c>
      <c r="G388" t="s">
        <v>286</v>
      </c>
      <c r="H388" t="s">
        <v>17</v>
      </c>
      <c r="I388" t="s">
        <v>402</v>
      </c>
      <c r="J388" t="s">
        <v>38</v>
      </c>
      <c r="K388" t="s">
        <v>389</v>
      </c>
      <c r="L388" t="s">
        <v>38</v>
      </c>
      <c r="M388" t="str">
        <f t="shared" si="27"/>
        <v>Win</v>
      </c>
      <c r="N388" t="s">
        <v>505</v>
      </c>
      <c r="O388" t="s">
        <v>179</v>
      </c>
      <c r="P388" t="s">
        <v>1010</v>
      </c>
    </row>
    <row r="389" spans="1:16" x14ac:dyDescent="0.3">
      <c r="A389" t="s">
        <v>966</v>
      </c>
      <c r="B389" s="1">
        <v>42663</v>
      </c>
      <c r="C389" s="1" t="str">
        <f t="shared" si="24"/>
        <v>Thursday</v>
      </c>
      <c r="D389" s="1" t="str">
        <f t="shared" si="25"/>
        <v>October</v>
      </c>
      <c r="E389">
        <f t="shared" si="26"/>
        <v>2016</v>
      </c>
      <c r="F389" t="s">
        <v>553</v>
      </c>
      <c r="G389" t="s">
        <v>286</v>
      </c>
      <c r="H389" t="s">
        <v>40</v>
      </c>
      <c r="I389" t="s">
        <v>402</v>
      </c>
      <c r="J389" t="s">
        <v>38</v>
      </c>
      <c r="K389" t="s">
        <v>363</v>
      </c>
      <c r="L389" t="s">
        <v>38</v>
      </c>
      <c r="M389" t="str">
        <f t="shared" si="27"/>
        <v>Win</v>
      </c>
      <c r="N389" t="s">
        <v>1005</v>
      </c>
      <c r="O389" t="s">
        <v>1001</v>
      </c>
      <c r="P389" t="s">
        <v>1001</v>
      </c>
    </row>
    <row r="390" spans="1:16" x14ac:dyDescent="0.3">
      <c r="A390" t="s">
        <v>967</v>
      </c>
      <c r="B390" s="1">
        <v>42664</v>
      </c>
      <c r="C390" s="1" t="str">
        <f t="shared" si="24"/>
        <v>Friday</v>
      </c>
      <c r="D390" s="1" t="str">
        <f t="shared" si="25"/>
        <v>October</v>
      </c>
      <c r="E390">
        <f t="shared" si="26"/>
        <v>2016</v>
      </c>
      <c r="F390" t="s">
        <v>553</v>
      </c>
      <c r="G390" t="s">
        <v>286</v>
      </c>
      <c r="H390" t="s">
        <v>42</v>
      </c>
      <c r="I390" t="s">
        <v>402</v>
      </c>
      <c r="J390" t="s">
        <v>38</v>
      </c>
      <c r="K390" t="s">
        <v>155</v>
      </c>
      <c r="L390" t="s">
        <v>155</v>
      </c>
      <c r="M390" t="str">
        <f t="shared" si="27"/>
        <v>Loss</v>
      </c>
      <c r="N390" t="s">
        <v>406</v>
      </c>
      <c r="O390" t="s">
        <v>522</v>
      </c>
      <c r="P390" t="s">
        <v>409</v>
      </c>
    </row>
    <row r="391" spans="1:16" x14ac:dyDescent="0.3">
      <c r="A391" t="s">
        <v>968</v>
      </c>
      <c r="B391" s="1">
        <v>42802</v>
      </c>
      <c r="C391" s="1" t="str">
        <f t="shared" si="24"/>
        <v>Wednesday</v>
      </c>
      <c r="D391" s="1" t="str">
        <f t="shared" si="25"/>
        <v>March</v>
      </c>
      <c r="E391">
        <f t="shared" si="26"/>
        <v>2017</v>
      </c>
      <c r="F391" t="s">
        <v>543</v>
      </c>
      <c r="G391" t="s">
        <v>286</v>
      </c>
      <c r="H391" t="s">
        <v>17</v>
      </c>
      <c r="I391" t="s">
        <v>374</v>
      </c>
      <c r="J391" t="s">
        <v>38</v>
      </c>
      <c r="K391" t="s">
        <v>155</v>
      </c>
      <c r="L391" t="s">
        <v>38</v>
      </c>
      <c r="M391" t="str">
        <f t="shared" si="27"/>
        <v>Win</v>
      </c>
      <c r="N391" t="s">
        <v>1002</v>
      </c>
      <c r="O391" t="s">
        <v>1001</v>
      </c>
      <c r="P391" t="s">
        <v>1001</v>
      </c>
    </row>
    <row r="392" spans="1:16" x14ac:dyDescent="0.3">
      <c r="A392" t="s">
        <v>969</v>
      </c>
      <c r="B392" s="1">
        <v>42803</v>
      </c>
      <c r="C392" s="1" t="str">
        <f t="shared" si="24"/>
        <v>Thursday</v>
      </c>
      <c r="D392" s="1" t="str">
        <f t="shared" si="25"/>
        <v>March</v>
      </c>
      <c r="E392">
        <f t="shared" si="26"/>
        <v>2017</v>
      </c>
      <c r="F392" t="s">
        <v>543</v>
      </c>
      <c r="G392" t="s">
        <v>286</v>
      </c>
      <c r="H392" t="s">
        <v>40</v>
      </c>
      <c r="I392" t="s">
        <v>374</v>
      </c>
      <c r="J392" t="s">
        <v>38</v>
      </c>
      <c r="K392" t="s">
        <v>429</v>
      </c>
      <c r="L392" t="s">
        <v>38</v>
      </c>
      <c r="M392" t="str">
        <f t="shared" si="27"/>
        <v>Win</v>
      </c>
      <c r="N392" t="s">
        <v>385</v>
      </c>
      <c r="O392" t="s">
        <v>1001</v>
      </c>
      <c r="P392" t="s">
        <v>1001</v>
      </c>
    </row>
    <row r="393" spans="1:16" x14ac:dyDescent="0.3">
      <c r="A393" t="s">
        <v>970</v>
      </c>
      <c r="B393" s="1">
        <v>42804</v>
      </c>
      <c r="C393" s="1" t="str">
        <f t="shared" si="24"/>
        <v>Friday</v>
      </c>
      <c r="D393" s="1" t="str">
        <f t="shared" si="25"/>
        <v>March</v>
      </c>
      <c r="E393">
        <f t="shared" si="26"/>
        <v>2017</v>
      </c>
      <c r="F393" t="s">
        <v>543</v>
      </c>
      <c r="G393" t="s">
        <v>286</v>
      </c>
      <c r="H393" t="s">
        <v>42</v>
      </c>
      <c r="I393" t="s">
        <v>374</v>
      </c>
      <c r="J393" t="s">
        <v>38</v>
      </c>
      <c r="K393" t="s">
        <v>343</v>
      </c>
      <c r="L393" t="s">
        <v>38</v>
      </c>
      <c r="M393" t="str">
        <f t="shared" si="27"/>
        <v>Win</v>
      </c>
      <c r="N393" t="s">
        <v>998</v>
      </c>
      <c r="O393" t="s">
        <v>1001</v>
      </c>
      <c r="P393" t="s">
        <v>1001</v>
      </c>
    </row>
    <row r="394" spans="1:16" x14ac:dyDescent="0.3">
      <c r="A394" t="s">
        <v>971</v>
      </c>
      <c r="B394" s="1">
        <v>42805</v>
      </c>
      <c r="C394" s="1" t="str">
        <f t="shared" si="24"/>
        <v>Saturday</v>
      </c>
      <c r="D394" s="1" t="str">
        <f t="shared" si="25"/>
        <v>March</v>
      </c>
      <c r="E394">
        <f t="shared" si="26"/>
        <v>2017</v>
      </c>
      <c r="F394" t="s">
        <v>543</v>
      </c>
      <c r="G394" t="s">
        <v>286</v>
      </c>
      <c r="H394" t="s">
        <v>46</v>
      </c>
      <c r="I394" t="s">
        <v>374</v>
      </c>
      <c r="J394" t="s">
        <v>38</v>
      </c>
      <c r="K394" t="s">
        <v>226</v>
      </c>
      <c r="L394" t="s">
        <v>38</v>
      </c>
      <c r="M394" t="str">
        <f t="shared" si="27"/>
        <v>Win</v>
      </c>
      <c r="N394" t="s">
        <v>1019</v>
      </c>
      <c r="O394" t="s">
        <v>485</v>
      </c>
      <c r="P394" t="s">
        <v>1011</v>
      </c>
    </row>
    <row r="395" spans="1:16" x14ac:dyDescent="0.3">
      <c r="A395" t="s">
        <v>972</v>
      </c>
      <c r="B395" s="1">
        <v>42806</v>
      </c>
      <c r="C395" s="1" t="str">
        <f t="shared" si="24"/>
        <v>Sunday</v>
      </c>
      <c r="D395" s="1" t="str">
        <f t="shared" si="25"/>
        <v>March</v>
      </c>
      <c r="E395">
        <f t="shared" si="26"/>
        <v>2017</v>
      </c>
      <c r="F395" t="s">
        <v>543</v>
      </c>
      <c r="G395" t="s">
        <v>286</v>
      </c>
      <c r="H395" t="s">
        <v>47</v>
      </c>
      <c r="I395" t="s">
        <v>374</v>
      </c>
      <c r="J395" t="s">
        <v>38</v>
      </c>
      <c r="K395" t="s">
        <v>497</v>
      </c>
      <c r="L395" t="s">
        <v>38</v>
      </c>
      <c r="M395" t="str">
        <f t="shared" si="27"/>
        <v>Win</v>
      </c>
      <c r="N395" t="s">
        <v>998</v>
      </c>
      <c r="O395" t="s">
        <v>1001</v>
      </c>
      <c r="P395" t="s">
        <v>1001</v>
      </c>
    </row>
    <row r="396" spans="1:16" x14ac:dyDescent="0.3">
      <c r="A396" t="s">
        <v>973</v>
      </c>
      <c r="B396" s="1">
        <v>42830</v>
      </c>
      <c r="C396" s="1" t="str">
        <f t="shared" si="24"/>
        <v>Wednesday</v>
      </c>
      <c r="D396" s="1" t="str">
        <f t="shared" si="25"/>
        <v>April</v>
      </c>
      <c r="E396">
        <f t="shared" si="26"/>
        <v>2017</v>
      </c>
      <c r="F396" t="s">
        <v>545</v>
      </c>
      <c r="G396" t="s">
        <v>286</v>
      </c>
      <c r="H396" t="s">
        <v>17</v>
      </c>
      <c r="I396" t="s">
        <v>557</v>
      </c>
      <c r="J396" t="s">
        <v>38</v>
      </c>
      <c r="K396" t="s">
        <v>62</v>
      </c>
      <c r="L396" t="s">
        <v>38</v>
      </c>
      <c r="M396" t="str">
        <f t="shared" si="27"/>
        <v>Win</v>
      </c>
      <c r="N396" t="s">
        <v>550</v>
      </c>
      <c r="O396" t="s">
        <v>1001</v>
      </c>
      <c r="P396" t="s">
        <v>1001</v>
      </c>
    </row>
    <row r="397" spans="1:16" x14ac:dyDescent="0.3">
      <c r="A397" t="s">
        <v>974</v>
      </c>
      <c r="B397" s="1">
        <v>42831</v>
      </c>
      <c r="C397" s="1" t="str">
        <f t="shared" si="24"/>
        <v>Thursday</v>
      </c>
      <c r="D397" s="1" t="str">
        <f t="shared" si="25"/>
        <v>April</v>
      </c>
      <c r="E397">
        <f t="shared" si="26"/>
        <v>2017</v>
      </c>
      <c r="F397" t="s">
        <v>545</v>
      </c>
      <c r="G397" t="s">
        <v>286</v>
      </c>
      <c r="H397" t="s">
        <v>40</v>
      </c>
      <c r="I397" t="s">
        <v>557</v>
      </c>
      <c r="J397" t="s">
        <v>38</v>
      </c>
      <c r="K397" t="s">
        <v>220</v>
      </c>
      <c r="L397" t="s">
        <v>38</v>
      </c>
      <c r="M397" t="str">
        <f t="shared" si="27"/>
        <v>Win</v>
      </c>
      <c r="N397" t="s">
        <v>1004</v>
      </c>
      <c r="O397" t="s">
        <v>1001</v>
      </c>
      <c r="P397" t="s">
        <v>1001</v>
      </c>
    </row>
    <row r="398" spans="1:16" x14ac:dyDescent="0.3">
      <c r="A398" t="s">
        <v>975</v>
      </c>
      <c r="B398" s="1">
        <v>42832</v>
      </c>
      <c r="C398" s="1" t="str">
        <f t="shared" si="24"/>
        <v>Friday</v>
      </c>
      <c r="D398" s="1" t="str">
        <f t="shared" si="25"/>
        <v>April</v>
      </c>
      <c r="E398">
        <f t="shared" si="26"/>
        <v>2017</v>
      </c>
      <c r="F398" t="s">
        <v>545</v>
      </c>
      <c r="G398" t="s">
        <v>286</v>
      </c>
      <c r="H398" t="s">
        <v>42</v>
      </c>
      <c r="I398" t="s">
        <v>557</v>
      </c>
      <c r="J398" t="s">
        <v>38</v>
      </c>
      <c r="K398" t="s">
        <v>484</v>
      </c>
      <c r="L398" t="s">
        <v>38</v>
      </c>
      <c r="M398" t="str">
        <f t="shared" si="27"/>
        <v>Win</v>
      </c>
      <c r="N398" t="s">
        <v>1010</v>
      </c>
      <c r="O398" t="s">
        <v>1001</v>
      </c>
      <c r="P398" t="s">
        <v>1001</v>
      </c>
    </row>
    <row r="399" spans="1:16" x14ac:dyDescent="0.3">
      <c r="A399" t="s">
        <v>976</v>
      </c>
      <c r="B399" s="1">
        <v>42833</v>
      </c>
      <c r="C399" s="1" t="str">
        <f t="shared" si="24"/>
        <v>Saturday</v>
      </c>
      <c r="D399" s="1" t="str">
        <f t="shared" si="25"/>
        <v>April</v>
      </c>
      <c r="E399">
        <f t="shared" si="26"/>
        <v>2017</v>
      </c>
      <c r="F399" t="s">
        <v>545</v>
      </c>
      <c r="G399" t="s">
        <v>286</v>
      </c>
      <c r="H399" t="s">
        <v>46</v>
      </c>
      <c r="I399" t="s">
        <v>557</v>
      </c>
      <c r="J399" t="s">
        <v>38</v>
      </c>
      <c r="K399" t="s">
        <v>169</v>
      </c>
      <c r="L399" t="s">
        <v>38</v>
      </c>
      <c r="M399" t="str">
        <f t="shared" si="27"/>
        <v>Win</v>
      </c>
      <c r="N399" t="s">
        <v>998</v>
      </c>
      <c r="O399" t="s">
        <v>1001</v>
      </c>
      <c r="P399" t="s">
        <v>1001</v>
      </c>
    </row>
    <row r="400" spans="1:16" x14ac:dyDescent="0.3">
      <c r="A400" t="s">
        <v>977</v>
      </c>
      <c r="B400" s="1">
        <v>42834</v>
      </c>
      <c r="C400" s="1" t="str">
        <f t="shared" si="24"/>
        <v>Sunday</v>
      </c>
      <c r="D400" s="1" t="str">
        <f t="shared" si="25"/>
        <v>April</v>
      </c>
      <c r="E400">
        <f t="shared" si="26"/>
        <v>2017</v>
      </c>
      <c r="F400" t="s">
        <v>545</v>
      </c>
      <c r="G400" t="s">
        <v>286</v>
      </c>
      <c r="H400" t="s">
        <v>47</v>
      </c>
      <c r="I400" t="s">
        <v>557</v>
      </c>
      <c r="J400" t="s">
        <v>38</v>
      </c>
      <c r="K400" t="s">
        <v>29</v>
      </c>
      <c r="L400" t="s">
        <v>29</v>
      </c>
      <c r="M400" t="str">
        <f t="shared" si="27"/>
        <v>Loss</v>
      </c>
      <c r="N400" t="s">
        <v>409</v>
      </c>
      <c r="O400" t="s">
        <v>1001</v>
      </c>
      <c r="P400" t="s">
        <v>1001</v>
      </c>
    </row>
    <row r="401" spans="1:16" x14ac:dyDescent="0.3">
      <c r="A401" t="s">
        <v>978</v>
      </c>
      <c r="B401" s="1">
        <v>42900</v>
      </c>
      <c r="C401" s="1" t="str">
        <f t="shared" si="24"/>
        <v>Wednesday</v>
      </c>
      <c r="D401" s="1" t="str">
        <f t="shared" si="25"/>
        <v>June</v>
      </c>
      <c r="E401">
        <f t="shared" si="26"/>
        <v>2017</v>
      </c>
      <c r="F401" t="s">
        <v>526</v>
      </c>
      <c r="G401" t="s">
        <v>286</v>
      </c>
      <c r="H401" t="s">
        <v>17</v>
      </c>
      <c r="I401" t="s">
        <v>322</v>
      </c>
      <c r="J401" t="s">
        <v>38</v>
      </c>
      <c r="K401" t="s">
        <v>65</v>
      </c>
      <c r="L401" t="s">
        <v>38</v>
      </c>
      <c r="M401" t="str">
        <f t="shared" si="27"/>
        <v>Win</v>
      </c>
      <c r="N401" t="s">
        <v>436</v>
      </c>
      <c r="O401" t="s">
        <v>1005</v>
      </c>
      <c r="P401" t="s">
        <v>385</v>
      </c>
    </row>
    <row r="402" spans="1:16" x14ac:dyDescent="0.3">
      <c r="A402" t="s">
        <v>979</v>
      </c>
      <c r="B402" s="1">
        <v>42901</v>
      </c>
      <c r="C402" s="1" t="str">
        <f t="shared" si="24"/>
        <v>Thursday</v>
      </c>
      <c r="D402" s="1" t="str">
        <f t="shared" si="25"/>
        <v>June</v>
      </c>
      <c r="E402">
        <f t="shared" si="26"/>
        <v>2017</v>
      </c>
      <c r="F402" t="s">
        <v>526</v>
      </c>
      <c r="G402" t="s">
        <v>286</v>
      </c>
      <c r="H402" t="s">
        <v>40</v>
      </c>
      <c r="I402" t="s">
        <v>322</v>
      </c>
      <c r="J402" t="s">
        <v>38</v>
      </c>
      <c r="K402" t="s">
        <v>363</v>
      </c>
      <c r="L402" t="s">
        <v>363</v>
      </c>
      <c r="M402" t="str">
        <f t="shared" si="27"/>
        <v>Loss</v>
      </c>
      <c r="N402" t="s">
        <v>1019</v>
      </c>
      <c r="O402" t="s">
        <v>1001</v>
      </c>
      <c r="P402" t="s">
        <v>1001</v>
      </c>
    </row>
    <row r="403" spans="1:16" x14ac:dyDescent="0.3">
      <c r="A403" t="s">
        <v>980</v>
      </c>
      <c r="B403" s="1">
        <v>43000</v>
      </c>
      <c r="C403" s="1" t="str">
        <f t="shared" si="24"/>
        <v>Friday</v>
      </c>
      <c r="D403" s="1" t="str">
        <f t="shared" si="25"/>
        <v>September</v>
      </c>
      <c r="E403">
        <f t="shared" si="26"/>
        <v>2017</v>
      </c>
      <c r="F403" t="s">
        <v>558</v>
      </c>
      <c r="G403" t="s">
        <v>1</v>
      </c>
      <c r="H403" t="s">
        <v>42</v>
      </c>
      <c r="I403" t="s">
        <v>348</v>
      </c>
      <c r="J403" t="s">
        <v>38</v>
      </c>
      <c r="K403" t="s">
        <v>226</v>
      </c>
      <c r="L403" t="s">
        <v>38</v>
      </c>
      <c r="M403" t="str">
        <f t="shared" si="27"/>
        <v>Win</v>
      </c>
      <c r="N403" t="s">
        <v>1010</v>
      </c>
      <c r="O403" t="s">
        <v>566</v>
      </c>
      <c r="P403" t="s">
        <v>179</v>
      </c>
    </row>
    <row r="404" spans="1:16" x14ac:dyDescent="0.3">
      <c r="A404" t="s">
        <v>981</v>
      </c>
      <c r="B404" s="1">
        <v>43001</v>
      </c>
      <c r="C404" s="1" t="str">
        <f t="shared" si="24"/>
        <v>Saturday</v>
      </c>
      <c r="D404" s="1" t="str">
        <f t="shared" si="25"/>
        <v>September</v>
      </c>
      <c r="E404">
        <f t="shared" si="26"/>
        <v>2017</v>
      </c>
      <c r="F404" t="s">
        <v>558</v>
      </c>
      <c r="G404" t="s">
        <v>1</v>
      </c>
      <c r="H404" t="s">
        <v>46</v>
      </c>
      <c r="I404" t="s">
        <v>348</v>
      </c>
      <c r="J404" t="s">
        <v>38</v>
      </c>
      <c r="K404" t="s">
        <v>497</v>
      </c>
      <c r="L404" t="s">
        <v>38</v>
      </c>
      <c r="M404" t="str">
        <f t="shared" si="27"/>
        <v>Win</v>
      </c>
      <c r="N404" t="s">
        <v>179</v>
      </c>
      <c r="O404" t="s">
        <v>1001</v>
      </c>
      <c r="P404" t="s">
        <v>1001</v>
      </c>
    </row>
    <row r="405" spans="1:16" x14ac:dyDescent="0.3">
      <c r="A405" t="s">
        <v>982</v>
      </c>
      <c r="B405" s="1">
        <v>43026</v>
      </c>
      <c r="C405" s="1" t="str">
        <f t="shared" si="24"/>
        <v>Wednesday</v>
      </c>
      <c r="D405" s="1" t="str">
        <f t="shared" si="25"/>
        <v>October</v>
      </c>
      <c r="E405">
        <f t="shared" si="26"/>
        <v>2017</v>
      </c>
      <c r="F405" t="s">
        <v>559</v>
      </c>
      <c r="G405" t="s">
        <v>286</v>
      </c>
      <c r="H405" t="s">
        <v>17</v>
      </c>
      <c r="I405" t="s">
        <v>402</v>
      </c>
      <c r="J405" t="s">
        <v>38</v>
      </c>
      <c r="K405" t="s">
        <v>195</v>
      </c>
      <c r="L405" t="s">
        <v>38</v>
      </c>
      <c r="M405" t="str">
        <f t="shared" si="27"/>
        <v>Win</v>
      </c>
      <c r="N405" t="s">
        <v>998</v>
      </c>
      <c r="O405" t="s">
        <v>1001</v>
      </c>
      <c r="P405" t="s">
        <v>1001</v>
      </c>
    </row>
    <row r="406" spans="1:16" x14ac:dyDescent="0.3">
      <c r="A406" t="s">
        <v>983</v>
      </c>
      <c r="B406" s="1">
        <v>43027</v>
      </c>
      <c r="C406" s="1" t="str">
        <f t="shared" si="24"/>
        <v>Thursday</v>
      </c>
      <c r="D406" s="1" t="str">
        <f t="shared" si="25"/>
        <v>October</v>
      </c>
      <c r="E406">
        <f t="shared" si="26"/>
        <v>2017</v>
      </c>
      <c r="F406" t="s">
        <v>559</v>
      </c>
      <c r="G406" t="s">
        <v>286</v>
      </c>
      <c r="H406" t="s">
        <v>40</v>
      </c>
      <c r="I406" t="s">
        <v>402</v>
      </c>
      <c r="J406" t="s">
        <v>38</v>
      </c>
      <c r="K406" t="s">
        <v>363</v>
      </c>
      <c r="L406" t="s">
        <v>363</v>
      </c>
      <c r="M406" t="str">
        <f t="shared" si="27"/>
        <v>Loss</v>
      </c>
      <c r="N406" t="s">
        <v>406</v>
      </c>
      <c r="O406" t="s">
        <v>1010</v>
      </c>
      <c r="P406" t="s">
        <v>409</v>
      </c>
    </row>
    <row r="407" spans="1:16" x14ac:dyDescent="0.3">
      <c r="A407" t="s">
        <v>984</v>
      </c>
      <c r="B407" s="1">
        <v>43033</v>
      </c>
      <c r="C407" s="1" t="str">
        <f t="shared" si="24"/>
        <v>Wednesday</v>
      </c>
      <c r="D407" s="1" t="str">
        <f t="shared" si="25"/>
        <v>October</v>
      </c>
      <c r="E407">
        <f t="shared" si="26"/>
        <v>2017</v>
      </c>
      <c r="F407" t="s">
        <v>555</v>
      </c>
      <c r="G407" t="s">
        <v>1</v>
      </c>
      <c r="H407" t="s">
        <v>17</v>
      </c>
      <c r="I407" t="s">
        <v>354</v>
      </c>
      <c r="J407" t="s">
        <v>38</v>
      </c>
      <c r="K407" t="s">
        <v>490</v>
      </c>
      <c r="L407" t="s">
        <v>490</v>
      </c>
      <c r="M407" t="str">
        <f t="shared" si="27"/>
        <v>Loss</v>
      </c>
      <c r="N407" t="s">
        <v>552</v>
      </c>
      <c r="O407" t="s">
        <v>1001</v>
      </c>
      <c r="P407" t="s">
        <v>1001</v>
      </c>
    </row>
    <row r="408" spans="1:16" x14ac:dyDescent="0.3">
      <c r="A408" t="s">
        <v>985</v>
      </c>
      <c r="B408" s="1">
        <v>43054</v>
      </c>
      <c r="C408" s="1" t="str">
        <f t="shared" si="24"/>
        <v>Wednesday</v>
      </c>
      <c r="D408" s="1" t="str">
        <f t="shared" si="25"/>
        <v>November</v>
      </c>
      <c r="E408">
        <f t="shared" si="26"/>
        <v>2017</v>
      </c>
      <c r="F408" t="s">
        <v>560</v>
      </c>
      <c r="G408" t="s">
        <v>286</v>
      </c>
      <c r="H408" t="s">
        <v>17</v>
      </c>
      <c r="I408" t="s">
        <v>521</v>
      </c>
      <c r="J408" t="s">
        <v>38</v>
      </c>
      <c r="K408" t="s">
        <v>224</v>
      </c>
      <c r="L408" t="s">
        <v>38</v>
      </c>
      <c r="M408" t="str">
        <f t="shared" si="27"/>
        <v>Win</v>
      </c>
      <c r="N408" t="s">
        <v>1007</v>
      </c>
      <c r="O408" t="s">
        <v>1001</v>
      </c>
      <c r="P408" t="s">
        <v>1001</v>
      </c>
    </row>
    <row r="409" spans="1:16" x14ac:dyDescent="0.3">
      <c r="A409" t="s">
        <v>986</v>
      </c>
      <c r="B409" s="1">
        <v>43055</v>
      </c>
      <c r="C409" s="1" t="str">
        <f t="shared" si="24"/>
        <v>Thursday</v>
      </c>
      <c r="D409" s="1" t="str">
        <f t="shared" si="25"/>
        <v>November</v>
      </c>
      <c r="E409">
        <f t="shared" si="26"/>
        <v>2017</v>
      </c>
      <c r="F409" t="s">
        <v>560</v>
      </c>
      <c r="G409" t="s">
        <v>286</v>
      </c>
      <c r="H409" t="s">
        <v>40</v>
      </c>
      <c r="I409" t="s">
        <v>521</v>
      </c>
      <c r="J409" t="s">
        <v>38</v>
      </c>
      <c r="K409" t="s">
        <v>155</v>
      </c>
      <c r="L409" t="s">
        <v>38</v>
      </c>
      <c r="M409" t="str">
        <f t="shared" si="27"/>
        <v>Win</v>
      </c>
      <c r="N409" t="s">
        <v>1012</v>
      </c>
      <c r="O409" t="s">
        <v>1001</v>
      </c>
      <c r="P409" t="s">
        <v>1001</v>
      </c>
    </row>
    <row r="410" spans="1:16" x14ac:dyDescent="0.3">
      <c r="A410" t="s">
        <v>987</v>
      </c>
      <c r="B410" s="1">
        <v>43063</v>
      </c>
      <c r="C410" s="1" t="str">
        <f t="shared" si="24"/>
        <v>Friday</v>
      </c>
      <c r="D410" s="1" t="str">
        <f t="shared" si="25"/>
        <v>November</v>
      </c>
      <c r="E410">
        <f t="shared" si="26"/>
        <v>2017</v>
      </c>
      <c r="F410" t="s">
        <v>539</v>
      </c>
      <c r="G410" t="s">
        <v>1</v>
      </c>
      <c r="H410" t="s">
        <v>42</v>
      </c>
      <c r="I410" t="s">
        <v>439</v>
      </c>
      <c r="J410" t="s">
        <v>38</v>
      </c>
      <c r="K410" t="s">
        <v>51</v>
      </c>
      <c r="L410" t="s">
        <v>38</v>
      </c>
      <c r="M410" t="str">
        <f t="shared" si="27"/>
        <v>Win</v>
      </c>
      <c r="N410" t="s">
        <v>1010</v>
      </c>
      <c r="O410" t="s">
        <v>1001</v>
      </c>
      <c r="P410" t="s">
        <v>1001</v>
      </c>
    </row>
    <row r="411" spans="1:16" x14ac:dyDescent="0.3">
      <c r="A411" t="s">
        <v>988</v>
      </c>
      <c r="B411" s="1">
        <v>43082</v>
      </c>
      <c r="C411" s="1" t="str">
        <f t="shared" si="24"/>
        <v>Wednesday</v>
      </c>
      <c r="D411" s="1" t="str">
        <f t="shared" si="25"/>
        <v>December</v>
      </c>
      <c r="E411">
        <f t="shared" si="26"/>
        <v>2017</v>
      </c>
      <c r="F411" t="s">
        <v>561</v>
      </c>
      <c r="G411" t="s">
        <v>286</v>
      </c>
      <c r="H411" t="s">
        <v>287</v>
      </c>
      <c r="I411" t="s">
        <v>540</v>
      </c>
      <c r="J411" t="s">
        <v>38</v>
      </c>
      <c r="K411" t="s">
        <v>339</v>
      </c>
      <c r="L411" t="s">
        <v>38</v>
      </c>
      <c r="M411" t="str">
        <f t="shared" si="27"/>
        <v>Win</v>
      </c>
      <c r="N411" t="s">
        <v>485</v>
      </c>
      <c r="O411" t="s">
        <v>1001</v>
      </c>
      <c r="P411" t="s">
        <v>1001</v>
      </c>
    </row>
    <row r="412" spans="1:16" x14ac:dyDescent="0.3">
      <c r="A412" t="s">
        <v>989</v>
      </c>
      <c r="B412" s="1">
        <v>43277</v>
      </c>
      <c r="C412" s="1" t="str">
        <f t="shared" si="24"/>
        <v>Tuesday</v>
      </c>
      <c r="D412" s="1" t="str">
        <f t="shared" si="25"/>
        <v>June</v>
      </c>
      <c r="E412">
        <f t="shared" si="26"/>
        <v>2018</v>
      </c>
      <c r="F412" t="s">
        <v>563</v>
      </c>
      <c r="G412" t="s">
        <v>564</v>
      </c>
      <c r="H412" t="s">
        <v>17</v>
      </c>
      <c r="I412" t="s">
        <v>367</v>
      </c>
      <c r="J412" t="s">
        <v>38</v>
      </c>
      <c r="K412" t="s">
        <v>422</v>
      </c>
      <c r="L412" t="s">
        <v>38</v>
      </c>
      <c r="M412" t="str">
        <f t="shared" si="27"/>
        <v>Win</v>
      </c>
      <c r="N412" t="s">
        <v>203</v>
      </c>
      <c r="O412" t="s">
        <v>1001</v>
      </c>
      <c r="P412" t="s">
        <v>1001</v>
      </c>
    </row>
    <row r="413" spans="1:16" x14ac:dyDescent="0.3">
      <c r="A413" t="s">
        <v>990</v>
      </c>
      <c r="B413" s="1">
        <v>43279</v>
      </c>
      <c r="C413" s="1" t="str">
        <f t="shared" si="24"/>
        <v>Thursday</v>
      </c>
      <c r="D413" s="1" t="str">
        <f t="shared" si="25"/>
        <v>June</v>
      </c>
      <c r="E413">
        <f t="shared" si="26"/>
        <v>2018</v>
      </c>
      <c r="F413" t="s">
        <v>563</v>
      </c>
      <c r="G413" t="s">
        <v>564</v>
      </c>
      <c r="H413" t="s">
        <v>40</v>
      </c>
      <c r="I413" t="s">
        <v>367</v>
      </c>
      <c r="J413" t="s">
        <v>38</v>
      </c>
      <c r="K413" t="s">
        <v>54</v>
      </c>
      <c r="L413" t="s">
        <v>38</v>
      </c>
      <c r="M413" t="str">
        <f t="shared" si="27"/>
        <v>Win</v>
      </c>
      <c r="N413" t="s">
        <v>1006</v>
      </c>
      <c r="O413" t="s">
        <v>1001</v>
      </c>
      <c r="P413" t="s">
        <v>1001</v>
      </c>
    </row>
    <row r="414" spans="1:16" x14ac:dyDescent="0.3">
      <c r="A414" t="s">
        <v>991</v>
      </c>
      <c r="B414" s="1">
        <v>43281</v>
      </c>
      <c r="C414" s="1" t="str">
        <f t="shared" si="24"/>
        <v>Saturday</v>
      </c>
      <c r="D414" s="1" t="str">
        <f t="shared" si="25"/>
        <v>June</v>
      </c>
      <c r="E414">
        <f t="shared" si="26"/>
        <v>2018</v>
      </c>
      <c r="F414" t="s">
        <v>563</v>
      </c>
      <c r="G414" t="s">
        <v>564</v>
      </c>
      <c r="H414" t="s">
        <v>46</v>
      </c>
      <c r="I414" t="s">
        <v>367</v>
      </c>
      <c r="J414" t="s">
        <v>38</v>
      </c>
      <c r="K414" t="s">
        <v>65</v>
      </c>
      <c r="L414" t="s">
        <v>38</v>
      </c>
      <c r="M414" t="str">
        <f t="shared" si="27"/>
        <v>Win</v>
      </c>
      <c r="N414" t="s">
        <v>385</v>
      </c>
      <c r="O414" t="s">
        <v>1001</v>
      </c>
      <c r="P414" t="s">
        <v>1001</v>
      </c>
    </row>
    <row r="415" spans="1:16" x14ac:dyDescent="0.3">
      <c r="A415" t="s">
        <v>992</v>
      </c>
      <c r="B415" s="1">
        <v>43282</v>
      </c>
      <c r="C415" s="1" t="str">
        <f t="shared" si="24"/>
        <v>Sunday</v>
      </c>
      <c r="D415" s="1" t="str">
        <f t="shared" si="25"/>
        <v>July</v>
      </c>
      <c r="E415">
        <f t="shared" si="26"/>
        <v>2018</v>
      </c>
      <c r="F415" t="s">
        <v>563</v>
      </c>
      <c r="G415" t="s">
        <v>564</v>
      </c>
      <c r="H415" t="s">
        <v>47</v>
      </c>
      <c r="I415" t="s">
        <v>367</v>
      </c>
      <c r="J415" t="s">
        <v>38</v>
      </c>
      <c r="K415" t="s">
        <v>405</v>
      </c>
      <c r="L415" t="s">
        <v>38</v>
      </c>
      <c r="M415" t="str">
        <f t="shared" si="27"/>
        <v>Win</v>
      </c>
      <c r="N415" t="s">
        <v>524</v>
      </c>
      <c r="O415" t="s">
        <v>1001</v>
      </c>
      <c r="P415" t="s">
        <v>1001</v>
      </c>
    </row>
    <row r="416" spans="1:16" x14ac:dyDescent="0.3">
      <c r="A416" t="s">
        <v>993</v>
      </c>
      <c r="B416" s="1">
        <v>43287</v>
      </c>
      <c r="C416" s="1" t="str">
        <f t="shared" si="24"/>
        <v>Friday</v>
      </c>
      <c r="D416" s="1" t="str">
        <f t="shared" si="25"/>
        <v>July</v>
      </c>
      <c r="E416">
        <f t="shared" si="26"/>
        <v>2018</v>
      </c>
      <c r="F416" t="s">
        <v>565</v>
      </c>
      <c r="G416" t="s">
        <v>562</v>
      </c>
      <c r="H416" t="s">
        <v>42</v>
      </c>
      <c r="I416" t="s">
        <v>322</v>
      </c>
      <c r="J416" t="s">
        <v>38</v>
      </c>
      <c r="K416" t="s">
        <v>515</v>
      </c>
      <c r="L416" t="s">
        <v>38</v>
      </c>
      <c r="M416" t="str">
        <f t="shared" si="27"/>
        <v>Win</v>
      </c>
      <c r="N416" t="s">
        <v>203</v>
      </c>
      <c r="O416" t="s">
        <v>1001</v>
      </c>
      <c r="P416" t="s">
        <v>1001</v>
      </c>
    </row>
    <row r="417" spans="3:4" x14ac:dyDescent="0.3">
      <c r="C417" s="1"/>
      <c r="D417" s="1"/>
    </row>
    <row r="418" spans="3:4" x14ac:dyDescent="0.3">
      <c r="C418" s="1"/>
      <c r="D418" s="1"/>
    </row>
  </sheetData>
  <autoFilter ref="A1:P416" xr:uid="{E983D7C6-CCAD-4020-A239-0F4D3484644C}"/>
  <phoneticPr fontId="18" type="noConversion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7A1754-BD27-4263-A98C-6A5513F3EB1F}">
  <dimension ref="A1:R29"/>
  <sheetViews>
    <sheetView topLeftCell="H1" zoomScale="70" zoomScaleNormal="70" workbookViewId="0">
      <selection activeCell="V13" sqref="V13"/>
    </sheetView>
  </sheetViews>
  <sheetFormatPr defaultRowHeight="14.4" x14ac:dyDescent="0.3"/>
  <cols>
    <col min="1" max="1" width="14.88671875" bestFit="1" customWidth="1"/>
    <col min="2" max="2" width="22.5546875" bestFit="1" customWidth="1"/>
    <col min="3" max="3" width="14" bestFit="1" customWidth="1"/>
    <col min="4" max="4" width="25.21875" bestFit="1" customWidth="1"/>
    <col min="5" max="5" width="22.5546875" bestFit="1" customWidth="1"/>
    <col min="6" max="6" width="12.6640625" bestFit="1" customWidth="1"/>
    <col min="8" max="8" width="34" bestFit="1" customWidth="1"/>
    <col min="9" max="9" width="18.33203125" bestFit="1" customWidth="1"/>
    <col min="10" max="10" width="6" bestFit="1" customWidth="1"/>
    <col min="11" max="11" width="14.88671875" bestFit="1" customWidth="1"/>
    <col min="12" max="12" width="24.33203125" bestFit="1" customWidth="1"/>
    <col min="14" max="14" width="17.109375" bestFit="1" customWidth="1"/>
    <col min="15" max="15" width="16.77734375" bestFit="1" customWidth="1"/>
    <col min="16" max="16" width="4.5546875" bestFit="1" customWidth="1"/>
    <col min="17" max="17" width="11.109375" bestFit="1" customWidth="1"/>
    <col min="18" max="18" width="26.5546875" bestFit="1" customWidth="1"/>
  </cols>
  <sheetData>
    <row r="1" spans="1:18" x14ac:dyDescent="0.3">
      <c r="A1" s="2" t="s">
        <v>1024</v>
      </c>
      <c r="B1" t="s">
        <v>1032</v>
      </c>
      <c r="D1" s="2" t="s">
        <v>1027</v>
      </c>
      <c r="E1" t="s">
        <v>1029</v>
      </c>
      <c r="H1" s="2" t="s">
        <v>1029</v>
      </c>
      <c r="I1" s="2" t="s">
        <v>1034</v>
      </c>
      <c r="N1" s="2" t="s">
        <v>1029</v>
      </c>
      <c r="O1" s="2" t="s">
        <v>1034</v>
      </c>
    </row>
    <row r="2" spans="1:18" x14ac:dyDescent="0.3">
      <c r="D2" s="3" t="s">
        <v>23</v>
      </c>
      <c r="E2">
        <v>16</v>
      </c>
      <c r="F2" s="4" t="s">
        <v>1033</v>
      </c>
      <c r="H2" s="2" t="s">
        <v>1027</v>
      </c>
      <c r="I2" t="s">
        <v>1030</v>
      </c>
      <c r="J2" t="s">
        <v>1031</v>
      </c>
      <c r="K2" t="s">
        <v>1028</v>
      </c>
      <c r="L2" s="4" t="s">
        <v>1035</v>
      </c>
      <c r="N2" s="2" t="s">
        <v>1027</v>
      </c>
      <c r="O2" t="s">
        <v>1030</v>
      </c>
      <c r="P2" t="s">
        <v>1031</v>
      </c>
      <c r="Q2" t="s">
        <v>1028</v>
      </c>
      <c r="R2" s="4" t="s">
        <v>1037</v>
      </c>
    </row>
    <row r="3" spans="1:18" x14ac:dyDescent="0.3">
      <c r="A3" s="2" t="s">
        <v>1027</v>
      </c>
      <c r="B3" t="s">
        <v>1029</v>
      </c>
      <c r="D3" s="5" t="s">
        <v>1031</v>
      </c>
      <c r="E3">
        <v>16</v>
      </c>
      <c r="F3" s="6">
        <f>GETPIVOTDATA("Match_Id",$D$1,"Opponent ","Boonsak PONSANA","Result","Win")/GETPIVOTDATA("Match_Id",$D$1,"Opponent ","Boonsak PONSANA")</f>
        <v>1</v>
      </c>
      <c r="H3" s="3">
        <v>2007</v>
      </c>
      <c r="I3">
        <v>2</v>
      </c>
      <c r="J3">
        <v>11</v>
      </c>
      <c r="K3">
        <v>13</v>
      </c>
      <c r="L3" s="6">
        <f>GETPIVOTDATA("Match_Id",$H$1,"Year",2007,"Result","Win")/GETPIVOTDATA("Match_Id",$H$1,"Year",2007)</f>
        <v>0.84615384615384615</v>
      </c>
      <c r="N3" s="3" t="s">
        <v>47</v>
      </c>
      <c r="O3">
        <v>19</v>
      </c>
      <c r="P3">
        <v>48</v>
      </c>
      <c r="Q3">
        <v>67</v>
      </c>
      <c r="R3" s="6">
        <f>GETPIVOTDATA("Match_Id",N1,"Round","Final","Result","Win")/GETPIVOTDATA("Match_Id",N1,"Round","Final")</f>
        <v>0.71641791044776115</v>
      </c>
    </row>
    <row r="4" spans="1:18" x14ac:dyDescent="0.3">
      <c r="A4" s="3">
        <v>2007</v>
      </c>
      <c r="B4">
        <v>13</v>
      </c>
      <c r="D4" s="3" t="s">
        <v>253</v>
      </c>
      <c r="E4">
        <v>18</v>
      </c>
      <c r="H4" s="3">
        <v>2008</v>
      </c>
      <c r="I4">
        <v>4</v>
      </c>
      <c r="J4">
        <v>30</v>
      </c>
      <c r="K4">
        <v>34</v>
      </c>
      <c r="L4" s="6">
        <f>GETPIVOTDATA("Match_Id",$H1,"Year",2008,"Result","Win")/GETPIVOTDATA("Match_Id",$H$1,"Year",2008)</f>
        <v>0.88235294117647056</v>
      </c>
      <c r="N4" s="3" t="s">
        <v>15</v>
      </c>
      <c r="P4">
        <v>1</v>
      </c>
      <c r="Q4">
        <v>1</v>
      </c>
      <c r="R4" s="6">
        <f>GETPIVOTDATA("Match_Id",$N$1,"Round","Q Qual. QF","Result","Win")/GETPIVOTDATA("Match_Id",$N$1,"Round","Q Qual. QF")</f>
        <v>1</v>
      </c>
    </row>
    <row r="5" spans="1:18" x14ac:dyDescent="0.3">
      <c r="A5" s="3">
        <v>2008</v>
      </c>
      <c r="B5">
        <v>34</v>
      </c>
      <c r="D5" s="5" t="s">
        <v>1030</v>
      </c>
      <c r="E5">
        <v>10</v>
      </c>
      <c r="F5" s="4" t="s">
        <v>1033</v>
      </c>
      <c r="H5" s="3">
        <v>2009</v>
      </c>
      <c r="I5">
        <v>7</v>
      </c>
      <c r="J5">
        <v>50</v>
      </c>
      <c r="K5">
        <v>57</v>
      </c>
      <c r="L5" s="6">
        <f>GETPIVOTDATA("Match_Id",$H$1,"Year",2009,"Result","Win")/GETPIVOTDATA("Match_Id",$H$1,"Year",2009)</f>
        <v>0.8771929824561403</v>
      </c>
      <c r="N5" s="3" t="s">
        <v>11</v>
      </c>
      <c r="O5">
        <v>1</v>
      </c>
      <c r="P5">
        <v>1</v>
      </c>
      <c r="Q5">
        <v>2</v>
      </c>
      <c r="R5" s="6">
        <f>GETPIVOTDATA("Match_Id",$N$1,"Round","Q Qual. R16","Result","Win")/GETPIVOTDATA("Match_Id",$N$1,"Round","Q Qual. R16")</f>
        <v>0.5</v>
      </c>
    </row>
    <row r="6" spans="1:18" x14ac:dyDescent="0.3">
      <c r="A6" s="3">
        <v>2009</v>
      </c>
      <c r="B6">
        <v>57</v>
      </c>
      <c r="D6" s="5" t="s">
        <v>1031</v>
      </c>
      <c r="E6">
        <v>8</v>
      </c>
      <c r="F6" s="6">
        <f>GETPIVOTDATA("Match_Id",$D$1,"Opponent ","CHEN Long","Result","Win")/GETPIVOTDATA("Match_Id",$D$1,"Opponent ","CHEN Long")</f>
        <v>0.44444444444444442</v>
      </c>
      <c r="H6" s="3">
        <v>2010</v>
      </c>
      <c r="I6">
        <v>1</v>
      </c>
      <c r="J6">
        <v>42</v>
      </c>
      <c r="K6">
        <v>43</v>
      </c>
      <c r="L6" s="6">
        <f>GETPIVOTDATA("Match_Id",$H$1,"Year",2010,"Result","Win")/GETPIVOTDATA("Match_Id",$H$1,"Year",2010)</f>
        <v>0.97674418604651159</v>
      </c>
      <c r="N6" s="3" t="s">
        <v>42</v>
      </c>
      <c r="O6">
        <v>2</v>
      </c>
      <c r="P6">
        <v>72</v>
      </c>
      <c r="Q6">
        <v>74</v>
      </c>
      <c r="R6" s="6">
        <f>GETPIVOTDATA("Match_Id",$N$1,"Round","QF","Result","Win")/GETPIVOTDATA("Match_Id",$N$1,"Round","QF")</f>
        <v>0.97297297297297303</v>
      </c>
    </row>
    <row r="7" spans="1:18" x14ac:dyDescent="0.3">
      <c r="A7" s="3">
        <v>2010</v>
      </c>
      <c r="B7">
        <v>43</v>
      </c>
      <c r="D7" s="3" t="s">
        <v>120</v>
      </c>
      <c r="E7">
        <v>12</v>
      </c>
      <c r="H7" s="3">
        <v>2011</v>
      </c>
      <c r="I7">
        <v>7</v>
      </c>
      <c r="J7">
        <v>62</v>
      </c>
      <c r="K7">
        <v>69</v>
      </c>
      <c r="L7" s="6">
        <f>GETPIVOTDATA("Match_Id",$H$1,"Year",2011,"Result","Win")/GETPIVOTDATA("Match_Id",$H$1,"Year",2011)</f>
        <v>0.89855072463768115</v>
      </c>
      <c r="N7" s="3" t="s">
        <v>287</v>
      </c>
      <c r="O7">
        <v>1</v>
      </c>
      <c r="P7">
        <v>7</v>
      </c>
      <c r="Q7">
        <v>8</v>
      </c>
      <c r="R7" s="6">
        <f>GETPIVOTDATA("Match_Id",$N$1,"Round","R1","Result","Win")/GETPIVOTDATA("Match_Id",$N$1,"Round","R1")</f>
        <v>0.875</v>
      </c>
    </row>
    <row r="8" spans="1:18" x14ac:dyDescent="0.3">
      <c r="A8" s="3">
        <v>2011</v>
      </c>
      <c r="B8">
        <v>69</v>
      </c>
      <c r="D8" s="5" t="s">
        <v>1030</v>
      </c>
      <c r="E8">
        <v>1</v>
      </c>
      <c r="F8" s="4" t="s">
        <v>1033</v>
      </c>
      <c r="H8" s="3">
        <v>2012</v>
      </c>
      <c r="I8">
        <v>4</v>
      </c>
      <c r="J8">
        <v>37</v>
      </c>
      <c r="K8">
        <v>41</v>
      </c>
      <c r="L8" s="6">
        <f>GETPIVOTDATA("Match_Id",$H$1,"Year",2012,"Result","Win")/GETPIVOTDATA("Match_Id",$H$1,"Year",2012)</f>
        <v>0.90243902439024393</v>
      </c>
      <c r="N8" s="3" t="s">
        <v>40</v>
      </c>
      <c r="O8">
        <v>6</v>
      </c>
      <c r="P8">
        <v>75</v>
      </c>
      <c r="Q8">
        <v>81</v>
      </c>
      <c r="R8" s="6">
        <f>GETPIVOTDATA("Match_Id",$N$1,"Round","R16","Result","Win")/GETPIVOTDATA("Match_Id",$N$1,"Round","R16")</f>
        <v>0.92592592592592593</v>
      </c>
    </row>
    <row r="9" spans="1:18" x14ac:dyDescent="0.3">
      <c r="A9" s="3">
        <v>2012</v>
      </c>
      <c r="B9">
        <v>41</v>
      </c>
      <c r="D9" s="5" t="s">
        <v>1031</v>
      </c>
      <c r="E9">
        <v>11</v>
      </c>
      <c r="F9" s="6">
        <f>GETPIVOTDATA("Match_Id",$D$1,"Opponent ","DU Pengyu","Result","Win")/GETPIVOTDATA("Match_Id",$D$1,"Opponent ","DU Pengyu")</f>
        <v>0.91666666666666663</v>
      </c>
      <c r="H9" s="3">
        <v>2013</v>
      </c>
      <c r="I9">
        <v>4</v>
      </c>
      <c r="J9">
        <v>49</v>
      </c>
      <c r="K9">
        <v>53</v>
      </c>
      <c r="L9" s="6">
        <f>GETPIVOTDATA("Match_Id",$H$1,"Year",2013,"Result","Win")/GETPIVOTDATA("Match_Id",$H$1,"Year",2013)</f>
        <v>0.92452830188679247</v>
      </c>
      <c r="N9" s="3" t="s">
        <v>288</v>
      </c>
      <c r="P9">
        <v>5</v>
      </c>
      <c r="Q9">
        <v>5</v>
      </c>
      <c r="R9" s="6">
        <f>GETPIVOTDATA("Match_Id",$N$1,"Round","R2","Result","Win")/GETPIVOTDATA("Match_Id",$N$1,"Round","R2")</f>
        <v>1</v>
      </c>
    </row>
    <row r="10" spans="1:18" x14ac:dyDescent="0.3">
      <c r="A10" s="3">
        <v>2013</v>
      </c>
      <c r="B10">
        <v>53</v>
      </c>
      <c r="D10" s="3" t="s">
        <v>149</v>
      </c>
      <c r="E10">
        <v>13</v>
      </c>
      <c r="H10" s="3">
        <v>2014</v>
      </c>
      <c r="I10">
        <v>4</v>
      </c>
      <c r="J10">
        <v>36</v>
      </c>
      <c r="K10">
        <v>40</v>
      </c>
      <c r="L10" s="6">
        <f>GETPIVOTDATA("Match_Id",$H$1,"Year",2014,"Result","Win")/GETPIVOTDATA("Match_Id",$H$1,"Year",2014)</f>
        <v>0.9</v>
      </c>
      <c r="N10" s="3" t="s">
        <v>289</v>
      </c>
      <c r="P10">
        <v>6</v>
      </c>
      <c r="Q10">
        <v>6</v>
      </c>
      <c r="R10" s="6">
        <f>GETPIVOTDATA("Match_Id",$N$1,"Round","R3","Result","Win")/GETPIVOTDATA("Match_Id",$N$1,"Round","R3")</f>
        <v>1</v>
      </c>
    </row>
    <row r="11" spans="1:18" x14ac:dyDescent="0.3">
      <c r="A11" s="3">
        <v>2014</v>
      </c>
      <c r="B11">
        <v>40</v>
      </c>
      <c r="D11" s="5" t="s">
        <v>1030</v>
      </c>
      <c r="E11">
        <v>1</v>
      </c>
      <c r="F11" s="4" t="s">
        <v>1033</v>
      </c>
      <c r="H11" s="3">
        <v>2015</v>
      </c>
      <c r="I11">
        <v>2</v>
      </c>
      <c r="J11">
        <v>16</v>
      </c>
      <c r="K11">
        <v>18</v>
      </c>
      <c r="L11" s="6">
        <f>GETPIVOTDATA("Match_Id",$H$1,"Year",2015,"Result","Win")/GETPIVOTDATA("Match_Id",$H$1,"Year",2015)</f>
        <v>0.88888888888888884</v>
      </c>
      <c r="N11" s="3" t="s">
        <v>17</v>
      </c>
      <c r="O11">
        <v>4</v>
      </c>
      <c r="P11">
        <v>79</v>
      </c>
      <c r="Q11">
        <v>83</v>
      </c>
      <c r="R11" s="6">
        <f>GETPIVOTDATA("Match_Id",$N$1,"Round","R32","Result","Win")/GETPIVOTDATA("Match_Id",$N$1,"Round","R32")</f>
        <v>0.95180722891566261</v>
      </c>
    </row>
    <row r="12" spans="1:18" x14ac:dyDescent="0.3">
      <c r="A12" s="3">
        <v>2015</v>
      </c>
      <c r="B12">
        <v>18</v>
      </c>
      <c r="D12" s="5" t="s">
        <v>1031</v>
      </c>
      <c r="E12">
        <v>12</v>
      </c>
      <c r="F12" s="6">
        <f>GETPIVOTDATA("Match_Id",$D$1,"Opponent ","Jan O JORGENSEN","Result","Win")/GETPIVOTDATA("Match_Id",$D$1,"Opponent ","Jan O JORGENSEN")</f>
        <v>0.92307692307692313</v>
      </c>
      <c r="H12" s="3">
        <v>2016</v>
      </c>
      <c r="I12">
        <v>3</v>
      </c>
      <c r="J12">
        <v>18</v>
      </c>
      <c r="K12">
        <v>21</v>
      </c>
      <c r="L12" s="6">
        <f>GETPIVOTDATA("Match_Id",$H$1,"Year",2016,"Result","Win")/GETPIVOTDATA("Match_Id",$H$1,"Year",2016)</f>
        <v>0.8571428571428571</v>
      </c>
      <c r="N12" s="3" t="s">
        <v>222</v>
      </c>
      <c r="O12">
        <v>1</v>
      </c>
      <c r="P12">
        <v>11</v>
      </c>
      <c r="Q12">
        <v>12</v>
      </c>
      <c r="R12" s="6">
        <f>GETPIVOTDATA("Match_Id",$N$1,"Round","R64","Result","Win")/GETPIVOTDATA("Match_Id",$N$1,"Round","R64")</f>
        <v>0.91666666666666663</v>
      </c>
    </row>
    <row r="13" spans="1:18" x14ac:dyDescent="0.3">
      <c r="A13" s="3">
        <v>2016</v>
      </c>
      <c r="B13">
        <v>21</v>
      </c>
      <c r="D13" s="3" t="s">
        <v>135</v>
      </c>
      <c r="E13">
        <v>17</v>
      </c>
      <c r="H13" s="3">
        <v>2017</v>
      </c>
      <c r="I13">
        <v>4</v>
      </c>
      <c r="J13">
        <v>17</v>
      </c>
      <c r="K13">
        <v>21</v>
      </c>
      <c r="L13" s="6">
        <f>GETPIVOTDATA("Match_Id",$H$1,"Year",2017,"Result","Win")/GETPIVOTDATA("Match_Id",$H$1,"Year",2017)</f>
        <v>0.80952380952380953</v>
      </c>
      <c r="N13" s="3" t="s">
        <v>46</v>
      </c>
      <c r="O13">
        <v>8</v>
      </c>
      <c r="P13">
        <v>68</v>
      </c>
      <c r="Q13">
        <v>76</v>
      </c>
      <c r="R13" s="6">
        <f>GETPIVOTDATA("Match_Id",$N$1,"Round","SF","Result","Win")/GETPIVOTDATA("Match_Id",$N$1,"Round","SF")</f>
        <v>0.89473684210526316</v>
      </c>
    </row>
    <row r="14" spans="1:18" x14ac:dyDescent="0.3">
      <c r="A14" s="3">
        <v>2017</v>
      </c>
      <c r="B14">
        <v>21</v>
      </c>
      <c r="D14" s="5" t="s">
        <v>1030</v>
      </c>
      <c r="E14">
        <v>2</v>
      </c>
      <c r="F14" s="4" t="s">
        <v>1033</v>
      </c>
      <c r="H14" s="3">
        <v>2018</v>
      </c>
      <c r="J14">
        <v>5</v>
      </c>
      <c r="K14">
        <v>5</v>
      </c>
      <c r="L14" s="6">
        <f>GETPIVOTDATA("Match_Id",$H$1,"Year",2018,"Result","Win")/GETPIVOTDATA("Match_Id",$H$1,"Year",2018)</f>
        <v>1</v>
      </c>
      <c r="N14" s="3" t="s">
        <v>1028</v>
      </c>
      <c r="O14">
        <v>42</v>
      </c>
      <c r="P14">
        <v>373</v>
      </c>
      <c r="Q14">
        <v>415</v>
      </c>
    </row>
    <row r="15" spans="1:18" x14ac:dyDescent="0.3">
      <c r="A15" s="3">
        <v>2018</v>
      </c>
      <c r="B15">
        <v>5</v>
      </c>
      <c r="D15" s="5" t="s">
        <v>1031</v>
      </c>
      <c r="E15">
        <v>15</v>
      </c>
      <c r="F15" s="6">
        <f>GETPIVOTDATA("Match_Id",$D$1,"Opponent ","Kenichi TAGO","Result","Win")/GETPIVOTDATA("Match_Id",$D$1,"Opponent ","Kenichi TAGO")</f>
        <v>0.88235294117647056</v>
      </c>
      <c r="H15" s="3" t="s">
        <v>1028</v>
      </c>
      <c r="I15">
        <v>42</v>
      </c>
      <c r="J15">
        <v>373</v>
      </c>
      <c r="K15">
        <v>415</v>
      </c>
    </row>
    <row r="16" spans="1:18" x14ac:dyDescent="0.3">
      <c r="A16" s="3" t="s">
        <v>1028</v>
      </c>
      <c r="B16">
        <v>415</v>
      </c>
      <c r="D16" s="3" t="s">
        <v>29</v>
      </c>
      <c r="E16">
        <v>14</v>
      </c>
    </row>
    <row r="17" spans="4:12" x14ac:dyDescent="0.3">
      <c r="D17" s="5" t="s">
        <v>1030</v>
      </c>
      <c r="E17">
        <v>9</v>
      </c>
      <c r="F17" s="4" t="s">
        <v>1033</v>
      </c>
    </row>
    <row r="18" spans="4:12" x14ac:dyDescent="0.3">
      <c r="D18" s="5" t="s">
        <v>1031</v>
      </c>
      <c r="E18">
        <v>5</v>
      </c>
      <c r="F18" s="6">
        <f>GETPIVOTDATA("Match_Id",$D$1,"Opponent ","LIN Dan","Result","Win")/GETPIVOTDATA("Match_Id",$D$1,"Opponent ","LIN Dan")</f>
        <v>0.35714285714285715</v>
      </c>
      <c r="H18" s="2" t="s">
        <v>1029</v>
      </c>
      <c r="I18" s="2" t="s">
        <v>1034</v>
      </c>
    </row>
    <row r="19" spans="4:12" x14ac:dyDescent="0.3">
      <c r="D19" s="3" t="s">
        <v>158</v>
      </c>
      <c r="E19">
        <v>11</v>
      </c>
      <c r="F19" s="4" t="s">
        <v>1033</v>
      </c>
      <c r="H19" s="2" t="s">
        <v>1027</v>
      </c>
      <c r="I19" t="s">
        <v>1030</v>
      </c>
      <c r="J19" t="s">
        <v>1031</v>
      </c>
      <c r="K19" t="s">
        <v>1028</v>
      </c>
      <c r="L19" s="4" t="s">
        <v>1036</v>
      </c>
    </row>
    <row r="20" spans="4:12" x14ac:dyDescent="0.3">
      <c r="D20" s="5" t="s">
        <v>1031</v>
      </c>
      <c r="E20">
        <v>11</v>
      </c>
      <c r="F20" s="6">
        <f>GETPIVOTDATA("Match_Id",$D$1,"Opponent ","Marc ZWIEBLER","Result","Win")/GETPIVOTDATA("Match_Id",$D$1,"Opponent ","Marc ZWIEBLER")</f>
        <v>1</v>
      </c>
      <c r="H20" s="3" t="s">
        <v>425</v>
      </c>
      <c r="I20">
        <v>3</v>
      </c>
      <c r="J20">
        <v>14</v>
      </c>
      <c r="K20">
        <v>17</v>
      </c>
      <c r="L20" s="6">
        <f>GETPIVOTDATA("Match_Id",$H$18,"Tier","Grade 1 â€“ Individual Tournaments","Result","Win")/GETPIVOTDATA("Match_Id",$H$18,"Tier","Grade 1 â€“ Individual Tournaments")</f>
        <v>0.82352941176470584</v>
      </c>
    </row>
    <row r="21" spans="4:12" x14ac:dyDescent="0.3">
      <c r="D21" s="3" t="s">
        <v>21</v>
      </c>
      <c r="E21">
        <v>16</v>
      </c>
      <c r="H21" s="3" t="s">
        <v>229</v>
      </c>
      <c r="J21">
        <v>3</v>
      </c>
      <c r="K21">
        <v>3</v>
      </c>
      <c r="L21" s="6">
        <f>GETPIVOTDATA("Match_Id",$H$18,"Tier","Grand Prix","Result","Win")/GETPIVOTDATA("Match_Id",$H$18,"Tier","Grand Prix")</f>
        <v>1</v>
      </c>
    </row>
    <row r="22" spans="4:12" x14ac:dyDescent="0.3">
      <c r="D22" s="5" t="s">
        <v>1030</v>
      </c>
      <c r="E22">
        <v>1</v>
      </c>
      <c r="F22" s="4" t="s">
        <v>1033</v>
      </c>
      <c r="H22" s="3" t="s">
        <v>219</v>
      </c>
      <c r="I22">
        <v>2</v>
      </c>
      <c r="J22">
        <v>47</v>
      </c>
      <c r="K22">
        <v>49</v>
      </c>
      <c r="L22" s="6">
        <f>GETPIVOTDATA("Match_Id",$H$18,"Tier","Grand Prix Gold","Result","Win")/GETPIVOTDATA("Match_Id",$H$18,"Tier","Grand Prix Gold")</f>
        <v>0.95918367346938771</v>
      </c>
    </row>
    <row r="23" spans="4:12" x14ac:dyDescent="0.3">
      <c r="D23" s="5" t="s">
        <v>1031</v>
      </c>
      <c r="E23">
        <v>15</v>
      </c>
      <c r="F23" s="6">
        <f>GETPIVOTDATA("Match_Id",$D$1,"Opponent ","Peter Hoeg GADE","Result","Win")/GETPIVOTDATA("Match_Id",$D$1,"Opponent ","Peter Hoeg GADE")</f>
        <v>0.9375</v>
      </c>
      <c r="H23" s="3" t="s">
        <v>562</v>
      </c>
      <c r="J23">
        <v>1</v>
      </c>
      <c r="K23">
        <v>1</v>
      </c>
      <c r="L23" s="6">
        <f>GETPIVOTDATA("Match_Id",$H$18,"Tier","HSBC BWF World Tour Super 1000","Result","Win")/GETPIVOTDATA("Match_Id",$H$18,"Tier","HSBC BWF World Tour Super 1000")</f>
        <v>1</v>
      </c>
    </row>
    <row r="24" spans="4:12" x14ac:dyDescent="0.3">
      <c r="D24" s="3" t="s">
        <v>30</v>
      </c>
      <c r="E24">
        <v>15</v>
      </c>
      <c r="H24" s="3" t="s">
        <v>564</v>
      </c>
      <c r="J24">
        <v>4</v>
      </c>
      <c r="K24">
        <v>4</v>
      </c>
      <c r="L24" s="6">
        <f>GETPIVOTDATA("Match_Id",$H$18,"Tier","HSBC BWF World Tour Super 750","Result","Win")/GETPIVOTDATA("Match_Id",$H$18,"Tier","HSBC BWF World Tour Super 750")</f>
        <v>1</v>
      </c>
    </row>
    <row r="25" spans="4:12" x14ac:dyDescent="0.3">
      <c r="D25" s="5" t="s">
        <v>1030</v>
      </c>
      <c r="E25">
        <v>2</v>
      </c>
      <c r="F25" s="4" t="s">
        <v>1033</v>
      </c>
      <c r="H25" s="3" t="s">
        <v>1</v>
      </c>
      <c r="I25">
        <v>23</v>
      </c>
      <c r="J25">
        <v>196</v>
      </c>
      <c r="K25">
        <v>219</v>
      </c>
      <c r="L25" s="6">
        <f>GETPIVOTDATA("Match_Id",$H$18,"Tier","World Superseries","Result","Win")/GETPIVOTDATA("Match_Id",$H$18,"Tier","World Superseries")</f>
        <v>0.89497716894977164</v>
      </c>
    </row>
    <row r="26" spans="4:12" x14ac:dyDescent="0.3">
      <c r="D26" s="5" t="s">
        <v>1031</v>
      </c>
      <c r="E26">
        <v>13</v>
      </c>
      <c r="F26" s="6">
        <f>GETPIVOTDATA("Match_Id",$D$1,"Opponent ","Taufik HIDAYAT","Result","Win")/GETPIVOTDATA("Match_Id",$D$1,"Opponent ","Taufik HIDAYAT")</f>
        <v>0.8666666666666667</v>
      </c>
      <c r="H26" s="3" t="s">
        <v>286</v>
      </c>
      <c r="I26">
        <v>14</v>
      </c>
      <c r="J26">
        <v>108</v>
      </c>
      <c r="K26">
        <v>122</v>
      </c>
      <c r="L26" s="6">
        <f>GETPIVOTDATA("Match_Id",$H$18,"Tier","World Superseries Premier","Result","Win")/GETPIVOTDATA("Match_Id",$H$18,"Tier","World Superseries Premier")</f>
        <v>0.88524590163934425</v>
      </c>
    </row>
    <row r="27" spans="4:12" x14ac:dyDescent="0.3">
      <c r="D27" s="3" t="s">
        <v>338</v>
      </c>
      <c r="E27">
        <v>11</v>
      </c>
      <c r="F27" s="4" t="s">
        <v>1033</v>
      </c>
      <c r="H27" s="3" t="s">
        <v>1028</v>
      </c>
      <c r="I27">
        <v>42</v>
      </c>
      <c r="J27">
        <v>373</v>
      </c>
      <c r="K27">
        <v>415</v>
      </c>
    </row>
    <row r="28" spans="4:12" x14ac:dyDescent="0.3">
      <c r="D28" s="5" t="s">
        <v>1031</v>
      </c>
      <c r="E28">
        <v>11</v>
      </c>
      <c r="F28" s="6">
        <f>GETPIVOTDATA("Match_Id",$D$1,"Opponent ","WANG Zhengming","Result","Win")/GETPIVOTDATA("Match_Id",$D$1,"Opponent ","WANG Zhengming")</f>
        <v>1</v>
      </c>
    </row>
    <row r="29" spans="4:12" x14ac:dyDescent="0.3">
      <c r="D29" s="3" t="s">
        <v>1028</v>
      </c>
      <c r="E29">
        <v>143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Unstructured Sheet</vt:lpstr>
      <vt:lpstr>Lee Chong Wei (Cleaned Sheet)</vt:lpstr>
      <vt:lpstr>Pivot sheet 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Shivansh Sahni</dc:creator>
  <cp:lastModifiedBy>Shivansh Sahni</cp:lastModifiedBy>
  <dcterms:created xsi:type="dcterms:W3CDTF">2026-09-15T18:59:28Z</dcterms:created>
  <dcterms:modified xsi:type="dcterms:W3CDTF">2026-10-04T22:39:51Z</dcterms:modified>
</cp:coreProperties>
</file>